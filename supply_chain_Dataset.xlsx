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https://d.docs.live.net/8daedbe39914a37f/Documents/"/>
    </mc:Choice>
  </mc:AlternateContent>
  <xr:revisionPtr revIDLastSave="64" documentId="8_{8E045CDD-C2FC-4B68-857D-18B664FF24DC}" xr6:coauthVersionLast="47" xr6:coauthVersionMax="47" xr10:uidLastSave="{0BBA648B-B5D4-4954-B24C-6A2DDD38FD55}"/>
  <bookViews>
    <workbookView xWindow="-108" yWindow="-108" windowWidth="23256" windowHeight="13176" activeTab="1" xr2:uid="{85130A50-EB52-44E2-93B4-A542223D4CBC}"/>
  </bookViews>
  <sheets>
    <sheet name="inventory_appliances " sheetId="2" r:id="rId1"/>
    <sheet name="suppliers_appliances " sheetId="3" r:id="rId2"/>
    <sheet name="shipments_appliances " sheetId="4" r:id="rId3"/>
    <sheet name=" " sheetId="21" r:id="rId4"/>
    <sheet name="Sheet2" sheetId="22" r:id="rId5"/>
    <sheet name="Prep4Dashboard" sheetId="16" r:id="rId6"/>
    <sheet name="Dashboard" sheetId="18" r:id="rId7"/>
    <sheet name="2025 Forecast" sheetId="11" r:id="rId8"/>
    <sheet name="StockStats" sheetId="12" r:id="rId9"/>
  </sheets>
  <definedNames>
    <definedName name="ExternalData_1" localSheetId="0" hidden="1">'inventory_appliances '!$A$1:$G$501</definedName>
    <definedName name="ExternalData_1" localSheetId="2" hidden="1">'shipments_appliances '!$A$1:$K$501</definedName>
    <definedName name="ExternalData_1" localSheetId="1" hidden="1">'suppliers_appliances '!$A$1:$E$8</definedName>
    <definedName name="Slicer_category">#N/A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4" l="1" a="1"/>
  <c r="L2" i="4" s="1"/>
  <c r="L3" i="4" a="1"/>
  <c r="L3" i="4"/>
  <c r="L4" i="4" a="1"/>
  <c r="L4" i="4" s="1"/>
  <c r="L5" i="4" a="1"/>
  <c r="L5" i="4"/>
  <c r="L6" i="4" a="1"/>
  <c r="L6" i="4"/>
  <c r="L7" i="4" a="1"/>
  <c r="L7" i="4"/>
  <c r="L8" i="4" a="1"/>
  <c r="L8" i="4" s="1"/>
  <c r="L9" i="4" a="1"/>
  <c r="L9" i="4"/>
  <c r="L10" i="4" a="1"/>
  <c r="L10" i="4" s="1"/>
  <c r="L11" i="4" a="1"/>
  <c r="L11" i="4"/>
  <c r="L12" i="4" a="1"/>
  <c r="L12" i="4"/>
  <c r="L13" i="4" a="1"/>
  <c r="L13" i="4"/>
  <c r="L14" i="4" a="1"/>
  <c r="L14" i="4" s="1"/>
  <c r="L15" i="4" a="1"/>
  <c r="L15" i="4"/>
  <c r="L16" i="4" a="1"/>
  <c r="L16" i="4" s="1"/>
  <c r="L17" i="4" a="1"/>
  <c r="L17" i="4"/>
  <c r="L18" i="4" a="1"/>
  <c r="L18" i="4"/>
  <c r="L19" i="4" a="1"/>
  <c r="L19" i="4"/>
  <c r="L20" i="4" a="1"/>
  <c r="L20" i="4" s="1"/>
  <c r="L21" i="4" a="1"/>
  <c r="L21" i="4"/>
  <c r="L22" i="4" a="1"/>
  <c r="L22" i="4" s="1"/>
  <c r="L23" i="4" a="1"/>
  <c r="L23" i="4"/>
  <c r="L24" i="4" a="1"/>
  <c r="L24" i="4"/>
  <c r="L25" i="4" a="1"/>
  <c r="L25" i="4"/>
  <c r="L26" i="4" a="1"/>
  <c r="L26" i="4" s="1"/>
  <c r="L27" i="4" a="1"/>
  <c r="L27" i="4"/>
  <c r="L28" i="4" a="1"/>
  <c r="L28" i="4" s="1"/>
  <c r="L29" i="4" a="1"/>
  <c r="L29" i="4"/>
  <c r="L30" i="4" a="1"/>
  <c r="L30" i="4"/>
  <c r="L31" i="4" a="1"/>
  <c r="L31" i="4"/>
  <c r="L32" i="4" a="1"/>
  <c r="L32" i="4" s="1"/>
  <c r="L33" i="4" a="1"/>
  <c r="L33" i="4"/>
  <c r="L34" i="4" a="1"/>
  <c r="L34" i="4" s="1"/>
  <c r="L35" i="4" a="1"/>
  <c r="L35" i="4"/>
  <c r="L36" i="4" a="1"/>
  <c r="L36" i="4"/>
  <c r="L37" i="4" a="1"/>
  <c r="L37" i="4"/>
  <c r="L38" i="4" a="1"/>
  <c r="L38" i="4" s="1"/>
  <c r="L39" i="4" a="1"/>
  <c r="L39" i="4"/>
  <c r="L40" i="4" a="1"/>
  <c r="L40" i="4" s="1"/>
  <c r="L41" i="4" a="1"/>
  <c r="L41" i="4"/>
  <c r="L42" i="4" a="1"/>
  <c r="L42" i="4"/>
  <c r="L43" i="4" a="1"/>
  <c r="L43" i="4"/>
  <c r="L44" i="4" a="1"/>
  <c r="L44" i="4" s="1"/>
  <c r="L45" i="4" a="1"/>
  <c r="L45" i="4"/>
  <c r="L46" i="4" a="1"/>
  <c r="L46" i="4" s="1"/>
  <c r="L47" i="4" a="1"/>
  <c r="L47" i="4"/>
  <c r="L48" i="4" a="1"/>
  <c r="L48" i="4"/>
  <c r="L49" i="4" a="1"/>
  <c r="L49" i="4"/>
  <c r="L50" i="4" a="1"/>
  <c r="L50" i="4" s="1"/>
  <c r="L51" i="4" a="1"/>
  <c r="L51" i="4"/>
  <c r="L52" i="4" a="1"/>
  <c r="L52" i="4" s="1"/>
  <c r="L53" i="4" a="1"/>
  <c r="L53" i="4"/>
  <c r="L54" i="4" a="1"/>
  <c r="L54" i="4"/>
  <c r="L55" i="4" a="1"/>
  <c r="L55" i="4"/>
  <c r="L56" i="4" a="1"/>
  <c r="L56" i="4" s="1"/>
  <c r="L57" i="4" a="1"/>
  <c r="L57" i="4"/>
  <c r="L58" i="4" a="1"/>
  <c r="L58" i="4" s="1"/>
  <c r="L59" i="4" a="1"/>
  <c r="L59" i="4"/>
  <c r="L60" i="4" a="1"/>
  <c r="L60" i="4"/>
  <c r="L61" i="4" a="1"/>
  <c r="L61" i="4"/>
  <c r="L62" i="4" a="1"/>
  <c r="L62" i="4" s="1"/>
  <c r="L63" i="4" a="1"/>
  <c r="L63" i="4"/>
  <c r="L64" i="4" a="1"/>
  <c r="L64" i="4" s="1"/>
  <c r="L65" i="4" a="1"/>
  <c r="L65" i="4"/>
  <c r="L66" i="4" a="1"/>
  <c r="L66" i="4"/>
  <c r="L67" i="4" a="1"/>
  <c r="L67" i="4"/>
  <c r="L68" i="4" a="1"/>
  <c r="L68" i="4" s="1"/>
  <c r="L69" i="4" a="1"/>
  <c r="L69" i="4"/>
  <c r="L70" i="4" a="1"/>
  <c r="L70" i="4" s="1"/>
  <c r="L71" i="4" a="1"/>
  <c r="L71" i="4"/>
  <c r="L72" i="4" a="1"/>
  <c r="L72" i="4"/>
  <c r="L73" i="4" a="1"/>
  <c r="L73" i="4"/>
  <c r="L74" i="4" a="1"/>
  <c r="L74" i="4" s="1"/>
  <c r="L75" i="4" a="1"/>
  <c r="L75" i="4"/>
  <c r="L76" i="4" a="1"/>
  <c r="L76" i="4" s="1"/>
  <c r="L77" i="4" a="1"/>
  <c r="L77" i="4"/>
  <c r="L78" i="4" a="1"/>
  <c r="L78" i="4"/>
  <c r="L79" i="4" a="1"/>
  <c r="L79" i="4"/>
  <c r="L80" i="4" a="1"/>
  <c r="L80" i="4" s="1"/>
  <c r="L81" i="4" a="1"/>
  <c r="L81" i="4"/>
  <c r="L82" i="4" a="1"/>
  <c r="L82" i="4" s="1"/>
  <c r="L83" i="4" a="1"/>
  <c r="L83" i="4"/>
  <c r="L84" i="4" a="1"/>
  <c r="L84" i="4"/>
  <c r="L85" i="4" a="1"/>
  <c r="L85" i="4"/>
  <c r="L86" i="4" a="1"/>
  <c r="L86" i="4" s="1"/>
  <c r="L87" i="4" a="1"/>
  <c r="L87" i="4"/>
  <c r="L88" i="4" a="1"/>
  <c r="L88" i="4" s="1"/>
  <c r="L89" i="4" a="1"/>
  <c r="L89" i="4"/>
  <c r="L90" i="4" a="1"/>
  <c r="L90" i="4"/>
  <c r="L91" i="4" a="1"/>
  <c r="L91" i="4"/>
  <c r="L92" i="4" a="1"/>
  <c r="L92" i="4" s="1"/>
  <c r="L93" i="4" a="1"/>
  <c r="L93" i="4"/>
  <c r="L94" i="4" a="1"/>
  <c r="L94" i="4" s="1"/>
  <c r="L95" i="4" a="1"/>
  <c r="L95" i="4"/>
  <c r="L96" i="4" a="1"/>
  <c r="L96" i="4"/>
  <c r="L97" i="4" a="1"/>
  <c r="L97" i="4"/>
  <c r="L98" i="4" a="1"/>
  <c r="L98" i="4" s="1"/>
  <c r="L99" i="4" a="1"/>
  <c r="L99" i="4"/>
  <c r="L100" i="4" a="1"/>
  <c r="L100" i="4" s="1"/>
  <c r="L101" i="4" a="1"/>
  <c r="L101" i="4"/>
  <c r="L102" i="4" a="1"/>
  <c r="L102" i="4"/>
  <c r="L103" i="4" a="1"/>
  <c r="L103" i="4"/>
  <c r="L104" i="4" a="1"/>
  <c r="L104" i="4" s="1"/>
  <c r="L105" i="4" a="1"/>
  <c r="L105" i="4"/>
  <c r="L106" i="4" a="1"/>
  <c r="L106" i="4" s="1"/>
  <c r="L107" i="4" a="1"/>
  <c r="L107" i="4"/>
  <c r="L108" i="4" a="1"/>
  <c r="L108" i="4"/>
  <c r="L109" i="4" a="1"/>
  <c r="L109" i="4"/>
  <c r="L110" i="4" a="1"/>
  <c r="L110" i="4" s="1"/>
  <c r="L111" i="4" a="1"/>
  <c r="L111" i="4"/>
  <c r="L112" i="4" a="1"/>
  <c r="L112" i="4" s="1"/>
  <c r="L113" i="4" a="1"/>
  <c r="L113" i="4"/>
  <c r="L114" i="4" a="1"/>
  <c r="L114" i="4"/>
  <c r="L115" i="4" a="1"/>
  <c r="L115" i="4"/>
  <c r="L116" i="4" a="1"/>
  <c r="L116" i="4" s="1"/>
  <c r="L117" i="4" a="1"/>
  <c r="L117" i="4"/>
  <c r="L118" i="4" a="1"/>
  <c r="L118" i="4" s="1"/>
  <c r="L119" i="4" a="1"/>
  <c r="L119" i="4"/>
  <c r="L120" i="4" a="1"/>
  <c r="L120" i="4"/>
  <c r="L121" i="4" a="1"/>
  <c r="L121" i="4"/>
  <c r="L122" i="4" a="1"/>
  <c r="L122" i="4" s="1"/>
  <c r="L123" i="4" a="1"/>
  <c r="L123" i="4"/>
  <c r="L124" i="4" a="1"/>
  <c r="L124" i="4" s="1"/>
  <c r="L125" i="4" a="1"/>
  <c r="L125" i="4"/>
  <c r="L126" i="4" a="1"/>
  <c r="L126" i="4"/>
  <c r="L127" i="4" a="1"/>
  <c r="L127" i="4"/>
  <c r="L128" i="4" a="1"/>
  <c r="L128" i="4" s="1"/>
  <c r="L129" i="4" a="1"/>
  <c r="L129" i="4"/>
  <c r="L130" i="4" a="1"/>
  <c r="L130" i="4" s="1"/>
  <c r="L131" i="4" a="1"/>
  <c r="L131" i="4"/>
  <c r="L132" i="4" a="1"/>
  <c r="L132" i="4"/>
  <c r="L133" i="4" a="1"/>
  <c r="L133" i="4"/>
  <c r="L134" i="4" a="1"/>
  <c r="L134" i="4" s="1"/>
  <c r="L135" i="4" a="1"/>
  <c r="L135" i="4"/>
  <c r="L136" i="4" a="1"/>
  <c r="L136" i="4" s="1"/>
  <c r="L137" i="4" a="1"/>
  <c r="L137" i="4"/>
  <c r="L138" i="4" a="1"/>
  <c r="L138" i="4"/>
  <c r="L139" i="4" a="1"/>
  <c r="L139" i="4"/>
  <c r="L140" i="4" a="1"/>
  <c r="L140" i="4" s="1"/>
  <c r="L141" i="4" a="1"/>
  <c r="L141" i="4"/>
  <c r="L142" i="4" a="1"/>
  <c r="L142" i="4" s="1"/>
  <c r="L143" i="4" a="1"/>
  <c r="L143" i="4"/>
  <c r="L144" i="4" a="1"/>
  <c r="L144" i="4"/>
  <c r="L145" i="4" a="1"/>
  <c r="L145" i="4"/>
  <c r="L146" i="4" a="1"/>
  <c r="L146" i="4" s="1"/>
  <c r="L147" i="4" a="1"/>
  <c r="L147" i="4"/>
  <c r="L148" i="4" a="1"/>
  <c r="L148" i="4" s="1"/>
  <c r="L149" i="4" a="1"/>
  <c r="L149" i="4"/>
  <c r="L150" i="4" a="1"/>
  <c r="L150" i="4"/>
  <c r="L151" i="4" a="1"/>
  <c r="L151" i="4"/>
  <c r="L152" i="4" a="1"/>
  <c r="L152" i="4" s="1"/>
  <c r="L153" i="4" a="1"/>
  <c r="L153" i="4"/>
  <c r="L154" i="4" a="1"/>
  <c r="L154" i="4" s="1"/>
  <c r="L155" i="4" a="1"/>
  <c r="L155" i="4"/>
  <c r="L156" i="4" a="1"/>
  <c r="L156" i="4"/>
  <c r="L157" i="4" a="1"/>
  <c r="L157" i="4"/>
  <c r="L158" i="4" a="1"/>
  <c r="L158" i="4" s="1"/>
  <c r="L159" i="4" a="1"/>
  <c r="L159" i="4"/>
  <c r="L160" i="4" a="1"/>
  <c r="L160" i="4" s="1"/>
  <c r="L161" i="4" a="1"/>
  <c r="L161" i="4"/>
  <c r="L162" i="4" a="1"/>
  <c r="L162" i="4"/>
  <c r="L163" i="4" a="1"/>
  <c r="L163" i="4"/>
  <c r="L164" i="4" a="1"/>
  <c r="L164" i="4" s="1"/>
  <c r="L165" i="4" a="1"/>
  <c r="L165" i="4"/>
  <c r="L166" i="4" a="1"/>
  <c r="L166" i="4" s="1"/>
  <c r="L167" i="4" a="1"/>
  <c r="L167" i="4"/>
  <c r="L168" i="4" a="1"/>
  <c r="L168" i="4"/>
  <c r="L169" i="4" a="1"/>
  <c r="L169" i="4"/>
  <c r="L170" i="4" a="1"/>
  <c r="L170" i="4" s="1"/>
  <c r="L171" i="4" a="1"/>
  <c r="L171" i="4"/>
  <c r="L172" i="4" a="1"/>
  <c r="L172" i="4" s="1"/>
  <c r="L173" i="4" a="1"/>
  <c r="L173" i="4"/>
  <c r="L174" i="4" a="1"/>
  <c r="L174" i="4"/>
  <c r="L175" i="4" a="1"/>
  <c r="L175" i="4"/>
  <c r="L176" i="4" a="1"/>
  <c r="L176" i="4" s="1"/>
  <c r="L177" i="4" a="1"/>
  <c r="L177" i="4"/>
  <c r="L178" i="4" a="1"/>
  <c r="L178" i="4" s="1"/>
  <c r="L179" i="4" a="1"/>
  <c r="L179" i="4"/>
  <c r="L180" i="4" a="1"/>
  <c r="L180" i="4"/>
  <c r="L181" i="4" a="1"/>
  <c r="L181" i="4"/>
  <c r="L182" i="4" a="1"/>
  <c r="L182" i="4" s="1"/>
  <c r="L183" i="4" a="1"/>
  <c r="L183" i="4"/>
  <c r="L184" i="4" a="1"/>
  <c r="L184" i="4" s="1"/>
  <c r="L185" i="4" a="1"/>
  <c r="L185" i="4"/>
  <c r="L186" i="4" a="1"/>
  <c r="L186" i="4"/>
  <c r="L187" i="4" a="1"/>
  <c r="L187" i="4"/>
  <c r="L188" i="4" a="1"/>
  <c r="L188" i="4" s="1"/>
  <c r="L189" i="4" a="1"/>
  <c r="L189" i="4"/>
  <c r="L190" i="4" a="1"/>
  <c r="L190" i="4" s="1"/>
  <c r="L191" i="4" a="1"/>
  <c r="L191" i="4"/>
  <c r="L192" i="4" a="1"/>
  <c r="L192" i="4"/>
  <c r="L193" i="4" a="1"/>
  <c r="L193" i="4"/>
  <c r="L194" i="4" a="1"/>
  <c r="L194" i="4" s="1"/>
  <c r="L195" i="4" a="1"/>
  <c r="L195" i="4"/>
  <c r="L196" i="4" a="1"/>
  <c r="L196" i="4" s="1"/>
  <c r="L197" i="4" a="1"/>
  <c r="L197" i="4"/>
  <c r="L198" i="4" a="1"/>
  <c r="L198" i="4"/>
  <c r="L199" i="4" a="1"/>
  <c r="L199" i="4"/>
  <c r="L200" i="4" a="1"/>
  <c r="L200" i="4" s="1"/>
  <c r="L201" i="4" a="1"/>
  <c r="L201" i="4"/>
  <c r="L202" i="4" a="1"/>
  <c r="L202" i="4" s="1"/>
  <c r="L203" i="4" a="1"/>
  <c r="L203" i="4"/>
  <c r="L204" i="4" a="1"/>
  <c r="L204" i="4"/>
  <c r="L205" i="4" a="1"/>
  <c r="L205" i="4"/>
  <c r="L206" i="4" a="1"/>
  <c r="L206" i="4" s="1"/>
  <c r="L207" i="4" a="1"/>
  <c r="L207" i="4"/>
  <c r="L208" i="4" a="1"/>
  <c r="L208" i="4" s="1"/>
  <c r="L209" i="4" a="1"/>
  <c r="L209" i="4"/>
  <c r="L210" i="4" a="1"/>
  <c r="L210" i="4"/>
  <c r="L211" i="4" a="1"/>
  <c r="L211" i="4"/>
  <c r="L212" i="4" a="1"/>
  <c r="L212" i="4" s="1"/>
  <c r="L213" i="4" a="1"/>
  <c r="L213" i="4"/>
  <c r="L214" i="4" a="1"/>
  <c r="L214" i="4" s="1"/>
  <c r="L215" i="4" a="1"/>
  <c r="L215" i="4"/>
  <c r="L216" i="4" a="1"/>
  <c r="L216" i="4"/>
  <c r="L217" i="4" a="1"/>
  <c r="L217" i="4"/>
  <c r="L218" i="4" a="1"/>
  <c r="L218" i="4" s="1"/>
  <c r="L219" i="4" a="1"/>
  <c r="L219" i="4"/>
  <c r="L220" i="4" a="1"/>
  <c r="L220" i="4" s="1"/>
  <c r="L221" i="4" a="1"/>
  <c r="L221" i="4"/>
  <c r="L222" i="4" a="1"/>
  <c r="L222" i="4"/>
  <c r="L223" i="4" a="1"/>
  <c r="L223" i="4"/>
  <c r="L224" i="4" a="1"/>
  <c r="L224" i="4" s="1"/>
  <c r="L225" i="4" a="1"/>
  <c r="L225" i="4"/>
  <c r="L226" i="4" a="1"/>
  <c r="L226" i="4" s="1"/>
  <c r="L227" i="4" a="1"/>
  <c r="L227" i="4"/>
  <c r="L228" i="4" a="1"/>
  <c r="L228" i="4"/>
  <c r="L229" i="4" a="1"/>
  <c r="L229" i="4"/>
  <c r="L230" i="4" a="1"/>
  <c r="L230" i="4" s="1"/>
  <c r="L231" i="4" a="1"/>
  <c r="L231" i="4"/>
  <c r="L232" i="4" a="1"/>
  <c r="L232" i="4" s="1"/>
  <c r="L233" i="4" a="1"/>
  <c r="L233" i="4"/>
  <c r="L234" i="4" a="1"/>
  <c r="L234" i="4"/>
  <c r="L235" i="4" a="1"/>
  <c r="L235" i="4"/>
  <c r="L236" i="4" a="1"/>
  <c r="L236" i="4" s="1"/>
  <c r="L237" i="4" a="1"/>
  <c r="L237" i="4"/>
  <c r="L238" i="4" a="1"/>
  <c r="L238" i="4" s="1"/>
  <c r="L239" i="4" a="1"/>
  <c r="L239" i="4"/>
  <c r="L240" i="4" a="1"/>
  <c r="L240" i="4"/>
  <c r="L241" i="4" a="1"/>
  <c r="L241" i="4"/>
  <c r="L242" i="4" a="1"/>
  <c r="L242" i="4" s="1"/>
  <c r="L243" i="4" a="1"/>
  <c r="L243" i="4"/>
  <c r="L244" i="4" a="1"/>
  <c r="L244" i="4" s="1"/>
  <c r="L245" i="4" a="1"/>
  <c r="L245" i="4"/>
  <c r="L246" i="4" a="1"/>
  <c r="L246" i="4"/>
  <c r="L247" i="4" a="1"/>
  <c r="L247" i="4"/>
  <c r="L248" i="4" a="1"/>
  <c r="L248" i="4" s="1"/>
  <c r="L249" i="4" a="1"/>
  <c r="L249" i="4"/>
  <c r="L250" i="4" a="1"/>
  <c r="L250" i="4" s="1"/>
  <c r="L251" i="4" a="1"/>
  <c r="L251" i="4"/>
  <c r="L252" i="4" a="1"/>
  <c r="L252" i="4"/>
  <c r="L253" i="4" a="1"/>
  <c r="L253" i="4"/>
  <c r="L254" i="4" a="1"/>
  <c r="L254" i="4" s="1"/>
  <c r="L255" i="4" a="1"/>
  <c r="L255" i="4"/>
  <c r="L256" i="4" a="1"/>
  <c r="L256" i="4" s="1"/>
  <c r="L257" i="4" a="1"/>
  <c r="L257" i="4"/>
  <c r="L258" i="4" a="1"/>
  <c r="L258" i="4"/>
  <c r="L259" i="4" a="1"/>
  <c r="L259" i="4"/>
  <c r="L260" i="4" a="1"/>
  <c r="L260" i="4" s="1"/>
  <c r="L261" i="4" a="1"/>
  <c r="L261" i="4"/>
  <c r="L262" i="4" a="1"/>
  <c r="L262" i="4" s="1"/>
  <c r="L263" i="4" a="1"/>
  <c r="L263" i="4"/>
  <c r="L264" i="4" a="1"/>
  <c r="L264" i="4"/>
  <c r="L265" i="4" a="1"/>
  <c r="L265" i="4"/>
  <c r="L266" i="4" a="1"/>
  <c r="L266" i="4" s="1"/>
  <c r="L267" i="4" a="1"/>
  <c r="L267" i="4"/>
  <c r="L268" i="4" a="1"/>
  <c r="L268" i="4" s="1"/>
  <c r="L269" i="4" a="1"/>
  <c r="L269" i="4"/>
  <c r="L270" i="4" a="1"/>
  <c r="L270" i="4"/>
  <c r="L271" i="4" a="1"/>
  <c r="L271" i="4"/>
  <c r="L272" i="4" a="1"/>
  <c r="L272" i="4" s="1"/>
  <c r="L273" i="4" a="1"/>
  <c r="L273" i="4"/>
  <c r="L274" i="4" a="1"/>
  <c r="L274" i="4" s="1"/>
  <c r="L275" i="4" a="1"/>
  <c r="L275" i="4"/>
  <c r="L276" i="4" a="1"/>
  <c r="L276" i="4"/>
  <c r="L277" i="4" a="1"/>
  <c r="L277" i="4"/>
  <c r="L278" i="4" a="1"/>
  <c r="L278" i="4" s="1"/>
  <c r="L279" i="4" a="1"/>
  <c r="L279" i="4"/>
  <c r="L280" i="4" a="1"/>
  <c r="L280" i="4" s="1"/>
  <c r="L281" i="4" a="1"/>
  <c r="L281" i="4"/>
  <c r="L282" i="4" a="1"/>
  <c r="L282" i="4"/>
  <c r="L283" i="4" a="1"/>
  <c r="L283" i="4"/>
  <c r="L284" i="4" a="1"/>
  <c r="L284" i="4" s="1"/>
  <c r="L285" i="4" a="1"/>
  <c r="L285" i="4"/>
  <c r="L286" i="4" a="1"/>
  <c r="L286" i="4" s="1"/>
  <c r="L287" i="4" a="1"/>
  <c r="L287" i="4"/>
  <c r="L288" i="4" a="1"/>
  <c r="L288" i="4"/>
  <c r="L289" i="4" a="1"/>
  <c r="L289" i="4"/>
  <c r="L290" i="4" a="1"/>
  <c r="L290" i="4" s="1"/>
  <c r="L291" i="4" a="1"/>
  <c r="L291" i="4"/>
  <c r="L292" i="4" a="1"/>
  <c r="L292" i="4" s="1"/>
  <c r="L293" i="4" a="1"/>
  <c r="L293" i="4"/>
  <c r="L294" i="4" a="1"/>
  <c r="L294" i="4"/>
  <c r="L295" i="4" a="1"/>
  <c r="L295" i="4"/>
  <c r="L296" i="4" a="1"/>
  <c r="L296" i="4" s="1"/>
  <c r="L297" i="4" a="1"/>
  <c r="L297" i="4"/>
  <c r="L298" i="4" a="1"/>
  <c r="L298" i="4" s="1"/>
  <c r="L299" i="4" a="1"/>
  <c r="L299" i="4"/>
  <c r="L300" i="4" a="1"/>
  <c r="L300" i="4"/>
  <c r="L301" i="4" a="1"/>
  <c r="L301" i="4"/>
  <c r="L302" i="4" a="1"/>
  <c r="L302" i="4" s="1"/>
  <c r="L303" i="4" a="1"/>
  <c r="L303" i="4"/>
  <c r="L304" i="4" a="1"/>
  <c r="L304" i="4" s="1"/>
  <c r="L305" i="4" a="1"/>
  <c r="L305" i="4"/>
  <c r="L306" i="4" a="1"/>
  <c r="L306" i="4"/>
  <c r="L307" i="4" a="1"/>
  <c r="L307" i="4"/>
  <c r="L308" i="4" a="1"/>
  <c r="L308" i="4" s="1"/>
  <c r="L309" i="4" a="1"/>
  <c r="L309" i="4"/>
  <c r="L310" i="4" a="1"/>
  <c r="L310" i="4" s="1"/>
  <c r="L311" i="4" a="1"/>
  <c r="L311" i="4"/>
  <c r="L312" i="4" a="1"/>
  <c r="L312" i="4"/>
  <c r="L313" i="4" a="1"/>
  <c r="L313" i="4"/>
  <c r="L314" i="4" a="1"/>
  <c r="L314" i="4" s="1"/>
  <c r="L315" i="4" a="1"/>
  <c r="L315" i="4"/>
  <c r="L316" i="4" a="1"/>
  <c r="L316" i="4" s="1"/>
  <c r="L317" i="4" a="1"/>
  <c r="L317" i="4"/>
  <c r="L318" i="4" a="1"/>
  <c r="L318" i="4"/>
  <c r="L319" i="4" a="1"/>
  <c r="L319" i="4"/>
  <c r="L320" i="4" a="1"/>
  <c r="L320" i="4" s="1"/>
  <c r="L321" i="4" a="1"/>
  <c r="L321" i="4"/>
  <c r="L322" i="4" a="1"/>
  <c r="L322" i="4" s="1"/>
  <c r="L323" i="4" a="1"/>
  <c r="L323" i="4"/>
  <c r="L324" i="4" a="1"/>
  <c r="L324" i="4"/>
  <c r="L325" i="4" a="1"/>
  <c r="L325" i="4"/>
  <c r="L326" i="4" a="1"/>
  <c r="L326" i="4" s="1"/>
  <c r="L327" i="4" a="1"/>
  <c r="L327" i="4"/>
  <c r="L328" i="4" a="1"/>
  <c r="L328" i="4" s="1"/>
  <c r="L329" i="4" a="1"/>
  <c r="L329" i="4"/>
  <c r="L330" i="4" a="1"/>
  <c r="L330" i="4"/>
  <c r="L331" i="4" a="1"/>
  <c r="L331" i="4"/>
  <c r="L332" i="4" a="1"/>
  <c r="L332" i="4" s="1"/>
  <c r="L333" i="4" a="1"/>
  <c r="L333" i="4"/>
  <c r="L334" i="4" a="1"/>
  <c r="L334" i="4" s="1"/>
  <c r="L335" i="4" a="1"/>
  <c r="L335" i="4"/>
  <c r="L336" i="4" a="1"/>
  <c r="L336" i="4"/>
  <c r="L337" i="4" a="1"/>
  <c r="L337" i="4"/>
  <c r="L338" i="4" a="1"/>
  <c r="L338" i="4" s="1"/>
  <c r="L339" i="4" a="1"/>
  <c r="L339" i="4"/>
  <c r="L340" i="4" a="1"/>
  <c r="L340" i="4" s="1"/>
  <c r="L341" i="4" a="1"/>
  <c r="L341" i="4"/>
  <c r="L342" i="4" a="1"/>
  <c r="L342" i="4"/>
  <c r="L343" i="4" a="1"/>
  <c r="L343" i="4"/>
  <c r="L344" i="4" a="1"/>
  <c r="L344" i="4" s="1"/>
  <c r="L345" i="4" a="1"/>
  <c r="L345" i="4"/>
  <c r="L346" i="4" a="1"/>
  <c r="L346" i="4" s="1"/>
  <c r="L347" i="4" a="1"/>
  <c r="L347" i="4"/>
  <c r="L348" i="4" a="1"/>
  <c r="L348" i="4"/>
  <c r="L349" i="4" a="1"/>
  <c r="L349" i="4"/>
  <c r="L350" i="4" a="1"/>
  <c r="L350" i="4" s="1"/>
  <c r="L351" i="4" a="1"/>
  <c r="L351" i="4"/>
  <c r="L352" i="4" a="1"/>
  <c r="L352" i="4" s="1"/>
  <c r="L353" i="4" a="1"/>
  <c r="L353" i="4"/>
  <c r="L354" i="4" a="1"/>
  <c r="L354" i="4"/>
  <c r="L355" i="4" a="1"/>
  <c r="L355" i="4"/>
  <c r="L356" i="4" a="1"/>
  <c r="L356" i="4" s="1"/>
  <c r="L357" i="4" a="1"/>
  <c r="L357" i="4"/>
  <c r="L358" i="4" a="1"/>
  <c r="L358" i="4" s="1"/>
  <c r="L359" i="4" a="1"/>
  <c r="L359" i="4"/>
  <c r="L360" i="4" a="1"/>
  <c r="L360" i="4"/>
  <c r="L361" i="4" a="1"/>
  <c r="L361" i="4"/>
  <c r="L362" i="4" a="1"/>
  <c r="L362" i="4" s="1"/>
  <c r="L363" i="4" a="1"/>
  <c r="L363" i="4"/>
  <c r="L364" i="4" a="1"/>
  <c r="L364" i="4" s="1"/>
  <c r="L365" i="4" a="1"/>
  <c r="L365" i="4"/>
  <c r="L366" i="4" a="1"/>
  <c r="L366" i="4"/>
  <c r="L367" i="4" a="1"/>
  <c r="L367" i="4"/>
  <c r="L368" i="4" a="1"/>
  <c r="L368" i="4" s="1"/>
  <c r="L369" i="4" a="1"/>
  <c r="L369" i="4"/>
  <c r="L370" i="4" a="1"/>
  <c r="L370" i="4" s="1"/>
  <c r="L371" i="4" a="1"/>
  <c r="L371" i="4"/>
  <c r="L372" i="4" a="1"/>
  <c r="L372" i="4"/>
  <c r="L373" i="4" a="1"/>
  <c r="L373" i="4"/>
  <c r="L374" i="4" a="1"/>
  <c r="L374" i="4" s="1"/>
  <c r="L375" i="4" a="1"/>
  <c r="L375" i="4"/>
  <c r="L376" i="4" a="1"/>
  <c r="L376" i="4" s="1"/>
  <c r="L377" i="4" a="1"/>
  <c r="L377" i="4"/>
  <c r="L378" i="4" a="1"/>
  <c r="L378" i="4"/>
  <c r="L379" i="4" a="1"/>
  <c r="L379" i="4"/>
  <c r="L380" i="4" a="1"/>
  <c r="L380" i="4" s="1"/>
  <c r="L381" i="4" a="1"/>
  <c r="L381" i="4"/>
  <c r="L382" i="4" a="1"/>
  <c r="L382" i="4" s="1"/>
  <c r="L383" i="4" a="1"/>
  <c r="L383" i="4"/>
  <c r="L384" i="4" a="1"/>
  <c r="L384" i="4"/>
  <c r="L385" i="4" a="1"/>
  <c r="L385" i="4"/>
  <c r="L386" i="4" a="1"/>
  <c r="L386" i="4" s="1"/>
  <c r="L387" i="4" a="1"/>
  <c r="L387" i="4"/>
  <c r="L388" i="4" a="1"/>
  <c r="L388" i="4" s="1"/>
  <c r="L389" i="4" a="1"/>
  <c r="L389" i="4"/>
  <c r="L390" i="4" a="1"/>
  <c r="L390" i="4"/>
  <c r="L391" i="4" a="1"/>
  <c r="L391" i="4"/>
  <c r="L392" i="4" a="1"/>
  <c r="L392" i="4" s="1"/>
  <c r="L393" i="4" a="1"/>
  <c r="L393" i="4"/>
  <c r="L394" i="4" a="1"/>
  <c r="L394" i="4" s="1"/>
  <c r="L395" i="4" a="1"/>
  <c r="L395" i="4"/>
  <c r="L396" i="4" a="1"/>
  <c r="L396" i="4"/>
  <c r="L397" i="4" a="1"/>
  <c r="L397" i="4"/>
  <c r="L398" i="4" a="1"/>
  <c r="L398" i="4" s="1"/>
  <c r="L399" i="4" a="1"/>
  <c r="L399" i="4"/>
  <c r="L400" i="4" a="1"/>
  <c r="L400" i="4" s="1"/>
  <c r="L401" i="4" a="1"/>
  <c r="L401" i="4"/>
  <c r="L402" i="4" a="1"/>
  <c r="L402" i="4"/>
  <c r="L403" i="4" a="1"/>
  <c r="L403" i="4"/>
  <c r="L404" i="4" a="1"/>
  <c r="L404" i="4" s="1"/>
  <c r="L405" i="4" a="1"/>
  <c r="L405" i="4"/>
  <c r="L406" i="4" a="1"/>
  <c r="L406" i="4" s="1"/>
  <c r="L407" i="4" a="1"/>
  <c r="L407" i="4"/>
  <c r="L408" i="4" a="1"/>
  <c r="L408" i="4"/>
  <c r="L409" i="4" a="1"/>
  <c r="L409" i="4"/>
  <c r="L410" i="4" a="1"/>
  <c r="L410" i="4" s="1"/>
  <c r="L411" i="4" a="1"/>
  <c r="L411" i="4"/>
  <c r="L412" i="4" a="1"/>
  <c r="L412" i="4" s="1"/>
  <c r="L413" i="4" a="1"/>
  <c r="L413" i="4"/>
  <c r="L414" i="4" a="1"/>
  <c r="L414" i="4"/>
  <c r="L415" i="4" a="1"/>
  <c r="L415" i="4"/>
  <c r="L416" i="4" a="1"/>
  <c r="L416" i="4" s="1"/>
  <c r="L417" i="4" a="1"/>
  <c r="L417" i="4"/>
  <c r="L418" i="4" a="1"/>
  <c r="L418" i="4" s="1"/>
  <c r="L419" i="4" a="1"/>
  <c r="L419" i="4"/>
  <c r="L420" i="4" a="1"/>
  <c r="L420" i="4"/>
  <c r="L421" i="4" a="1"/>
  <c r="L421" i="4"/>
  <c r="L422" i="4" a="1"/>
  <c r="L422" i="4" s="1"/>
  <c r="L423" i="4" a="1"/>
  <c r="L423" i="4"/>
  <c r="L424" i="4" a="1"/>
  <c r="L424" i="4" s="1"/>
  <c r="L425" i="4" a="1"/>
  <c r="L425" i="4"/>
  <c r="L426" i="4" a="1"/>
  <c r="L426" i="4"/>
  <c r="L427" i="4" a="1"/>
  <c r="L427" i="4"/>
  <c r="L428" i="4" a="1"/>
  <c r="L428" i="4" s="1"/>
  <c r="L429" i="4" a="1"/>
  <c r="L429" i="4"/>
  <c r="L430" i="4" a="1"/>
  <c r="L430" i="4" s="1"/>
  <c r="L431" i="4" a="1"/>
  <c r="L431" i="4"/>
  <c r="L432" i="4" a="1"/>
  <c r="L432" i="4"/>
  <c r="L433" i="4" a="1"/>
  <c r="L433" i="4"/>
  <c r="L434" i="4" a="1"/>
  <c r="L434" i="4" s="1"/>
  <c r="L435" i="4" a="1"/>
  <c r="L435" i="4"/>
  <c r="L436" i="4" a="1"/>
  <c r="L436" i="4" s="1"/>
  <c r="L437" i="4" a="1"/>
  <c r="L437" i="4"/>
  <c r="L438" i="4" a="1"/>
  <c r="L438" i="4"/>
  <c r="L439" i="4" a="1"/>
  <c r="L439" i="4"/>
  <c r="L440" i="4" a="1"/>
  <c r="L440" i="4" s="1"/>
  <c r="L441" i="4" a="1"/>
  <c r="L441" i="4"/>
  <c r="L442" i="4" a="1"/>
  <c r="L442" i="4" s="1"/>
  <c r="L443" i="4" a="1"/>
  <c r="L443" i="4"/>
  <c r="L444" i="4" a="1"/>
  <c r="L444" i="4"/>
  <c r="L445" i="4" a="1"/>
  <c r="L445" i="4"/>
  <c r="L446" i="4" a="1"/>
  <c r="L446" i="4" s="1"/>
  <c r="L447" i="4" a="1"/>
  <c r="L447" i="4"/>
  <c r="L448" i="4" a="1"/>
  <c r="L448" i="4" s="1"/>
  <c r="L449" i="4" a="1"/>
  <c r="L449" i="4"/>
  <c r="L450" i="4" a="1"/>
  <c r="L450" i="4"/>
  <c r="L451" i="4" a="1"/>
  <c r="L451" i="4"/>
  <c r="L452" i="4" a="1"/>
  <c r="L452" i="4" s="1"/>
  <c r="L453" i="4" a="1"/>
  <c r="L453" i="4"/>
  <c r="L454" i="4" a="1"/>
  <c r="L454" i="4" s="1"/>
  <c r="L455" i="4" a="1"/>
  <c r="L455" i="4"/>
  <c r="L456" i="4" a="1"/>
  <c r="L456" i="4"/>
  <c r="L457" i="4" a="1"/>
  <c r="L457" i="4"/>
  <c r="L458" i="4" a="1"/>
  <c r="L458" i="4" s="1"/>
  <c r="L459" i="4" a="1"/>
  <c r="L459" i="4"/>
  <c r="L460" i="4" a="1"/>
  <c r="L460" i="4" s="1"/>
  <c r="L461" i="4" a="1"/>
  <c r="L461" i="4"/>
  <c r="L462" i="4" a="1"/>
  <c r="L462" i="4"/>
  <c r="L463" i="4" a="1"/>
  <c r="L463" i="4"/>
  <c r="L464" i="4" a="1"/>
  <c r="L464" i="4" s="1"/>
  <c r="L465" i="4" a="1"/>
  <c r="L465" i="4"/>
  <c r="L466" i="4" a="1"/>
  <c r="L466" i="4" s="1"/>
  <c r="L467" i="4" a="1"/>
  <c r="L467" i="4"/>
  <c r="L468" i="4" a="1"/>
  <c r="L468" i="4"/>
  <c r="L469" i="4" a="1"/>
  <c r="L469" i="4"/>
  <c r="L470" i="4" a="1"/>
  <c r="L470" i="4" s="1"/>
  <c r="L471" i="4" a="1"/>
  <c r="L471" i="4"/>
  <c r="L472" i="4" a="1"/>
  <c r="L472" i="4" s="1"/>
  <c r="L473" i="4" a="1"/>
  <c r="L473" i="4"/>
  <c r="L474" i="4" a="1"/>
  <c r="L474" i="4"/>
  <c r="L475" i="4" a="1"/>
  <c r="L475" i="4"/>
  <c r="L476" i="4" a="1"/>
  <c r="L476" i="4" s="1"/>
  <c r="L477" i="4" a="1"/>
  <c r="L477" i="4"/>
  <c r="L478" i="4" a="1"/>
  <c r="L478" i="4" s="1"/>
  <c r="L479" i="4" a="1"/>
  <c r="L479" i="4" s="1"/>
  <c r="L480" i="4" a="1"/>
  <c r="L480" i="4"/>
  <c r="L481" i="4" a="1"/>
  <c r="L481" i="4"/>
  <c r="L482" i="4" a="1"/>
  <c r="L482" i="4" s="1"/>
  <c r="L483" i="4" a="1"/>
  <c r="L483" i="4"/>
  <c r="L484" i="4" a="1"/>
  <c r="L484" i="4" s="1"/>
  <c r="L485" i="4" a="1"/>
  <c r="L485" i="4"/>
  <c r="L486" i="4" a="1"/>
  <c r="L486" i="4"/>
  <c r="L487" i="4" a="1"/>
  <c r="L487" i="4"/>
  <c r="L488" i="4" a="1"/>
  <c r="L488" i="4" s="1"/>
  <c r="L489" i="4" a="1"/>
  <c r="L489" i="4"/>
  <c r="L490" i="4" a="1"/>
  <c r="L490" i="4" s="1"/>
  <c r="L491" i="4" a="1"/>
  <c r="L491" i="4"/>
  <c r="L492" i="4" a="1"/>
  <c r="L492" i="4"/>
  <c r="L493" i="4" a="1"/>
  <c r="L493" i="4"/>
  <c r="L494" i="4" a="1"/>
  <c r="L494" i="4" s="1"/>
  <c r="L495" i="4" a="1"/>
  <c r="L495" i="4"/>
  <c r="L496" i="4" a="1"/>
  <c r="L496" i="4" s="1"/>
  <c r="L497" i="4" a="1"/>
  <c r="L497" i="4"/>
  <c r="L498" i="4" a="1"/>
  <c r="L498" i="4"/>
  <c r="L499" i="4" a="1"/>
  <c r="L499" i="4" s="1"/>
  <c r="L500" i="4" a="1"/>
  <c r="L500" i="4" s="1"/>
  <c r="L501" i="4" a="1"/>
  <c r="L501" i="4"/>
  <c r="C24" i="11"/>
  <c r="C22" i="11"/>
  <c r="C23" i="11"/>
  <c r="D23" i="11"/>
  <c r="E23" i="11"/>
  <c r="E22" i="11"/>
  <c r="D24" i="11"/>
  <c r="E24" i="11"/>
  <c r="D22" i="11"/>
  <c r="D14" i="12"/>
  <c r="D5" i="12"/>
  <c r="G10" i="16"/>
  <c r="D8" i="12"/>
  <c r="D12" i="12"/>
  <c r="G9" i="16"/>
  <c r="D7" i="12"/>
  <c r="D22" i="12"/>
  <c r="D23" i="12"/>
  <c r="D16" i="12"/>
  <c r="D19" i="12"/>
  <c r="D20" i="12"/>
  <c r="D6" i="12"/>
  <c r="D13" i="12"/>
  <c r="D11" i="12"/>
  <c r="D15" i="12"/>
  <c r="D21" i="12"/>
  <c r="D10" i="12"/>
  <c r="G8" i="16"/>
  <c r="D18" i="12"/>
  <c r="D17" i="12"/>
  <c r="D4" i="12"/>
  <c r="D9"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04F385-ECD3-4880-9D04-115E236600A1}" keepAlive="1" name="Query - inventory_appliances (1)" description="Connection to the 'inventory_appliances (1)' query in the workbook." type="5" refreshedVersion="8" background="1" saveData="1">
    <dbPr connection="Provider=Microsoft.Mashup.OleDb.1;Data Source=$Workbook$;Location=&quot;inventory_appliances (1)&quot;;Extended Properties=&quot;&quot;" command="SELECT * FROM [inventory_appliances (1)]"/>
  </connection>
  <connection id="2" xr16:uid="{45DBF96D-B87B-4BEA-9362-D933AE78367C}" keepAlive="1" name="Query - shipments_appliances (2)" description="Connection to the 'shipments_appliances (2)' query in the workbook." type="5" refreshedVersion="8" background="1" saveData="1">
    <dbPr connection="Provider=Microsoft.Mashup.OleDb.1;Data Source=$Workbook$;Location=&quot;shipments_appliances (2)&quot;;Extended Properties=&quot;&quot;" command="SELECT * FROM [shipments_appliances (2)]"/>
  </connection>
  <connection id="3" xr16:uid="{29D72550-9A73-4903-9834-27159938BD0C}" keepAlive="1" name="Query - suppliers_appliances (2)" description="Connection to the 'suppliers_appliances (2)' query in the workbook." type="5" refreshedVersion="8" background="1" saveData="1">
    <dbPr connection="Provider=Microsoft.Mashup.OleDb.1;Data Source=$Workbook$;Location=&quot;suppliers_appliances (2)&quot;;Extended Properties=&quot;&quot;" command="SELECT * FROM [suppliers_appliances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<sst xmlns="http://schemas.openxmlformats.org/spreadsheetml/2006/main" count="4819" uniqueCount="1098">
  <si>
    <t>item_id</t>
  </si>
  <si>
    <t>item_name</t>
  </si>
  <si>
    <t>category</t>
  </si>
  <si>
    <t>stock</t>
  </si>
  <si>
    <t>reorder_level</t>
  </si>
  <si>
    <t>supplier_id</t>
  </si>
  <si>
    <t>price</t>
  </si>
  <si>
    <t>ITEM001</t>
  </si>
  <si>
    <t>Fan Heater</t>
  </si>
  <si>
    <t>Cleaning</t>
  </si>
  <si>
    <t>SUP101</t>
  </si>
  <si>
    <t>ITEM002</t>
  </si>
  <si>
    <t>Juicer</t>
  </si>
  <si>
    <t>ITEM003</t>
  </si>
  <si>
    <t>Rice Cooker</t>
  </si>
  <si>
    <t>Kitchen Appliances</t>
  </si>
  <si>
    <t>SUP104</t>
  </si>
  <si>
    <t>ITEM004</t>
  </si>
  <si>
    <t>LED TV</t>
  </si>
  <si>
    <t>SUP100</t>
  </si>
  <si>
    <t>ITEM005</t>
  </si>
  <si>
    <t>Coffee Maker</t>
  </si>
  <si>
    <t>SUP102</t>
  </si>
  <si>
    <t>ITEM006</t>
  </si>
  <si>
    <t>ITEM007</t>
  </si>
  <si>
    <t>Air Conditioner</t>
  </si>
  <si>
    <t>Cooling &amp; Heating</t>
  </si>
  <si>
    <t>ITEM008</t>
  </si>
  <si>
    <t>Vacuum Cleaner</t>
  </si>
  <si>
    <t>SUP103</t>
  </si>
  <si>
    <t>ITEM009</t>
  </si>
  <si>
    <t>Food Processor</t>
  </si>
  <si>
    <t>ITEM010</t>
  </si>
  <si>
    <t>Home Goods</t>
  </si>
  <si>
    <t>ITEM011</t>
  </si>
  <si>
    <t>ITEM012</t>
  </si>
  <si>
    <t>ITEM013</t>
  </si>
  <si>
    <t>ITEM014</t>
  </si>
  <si>
    <t>Electricfan</t>
  </si>
  <si>
    <t>ITEM015</t>
  </si>
  <si>
    <t>Refrigerator</t>
  </si>
  <si>
    <t>ITEM016</t>
  </si>
  <si>
    <t>ITEM017</t>
  </si>
  <si>
    <t>Microwave</t>
  </si>
  <si>
    <t>ITEM018</t>
  </si>
  <si>
    <t>Washing Machine</t>
  </si>
  <si>
    <t>ITEM019</t>
  </si>
  <si>
    <t>ITEM020</t>
  </si>
  <si>
    <t>Dishwasher</t>
  </si>
  <si>
    <t>ITEM021</t>
  </si>
  <si>
    <t>ITEM022</t>
  </si>
  <si>
    <t>ITEM023</t>
  </si>
  <si>
    <t>ITEM024</t>
  </si>
  <si>
    <t>Water Heater</t>
  </si>
  <si>
    <t>ITEM025</t>
  </si>
  <si>
    <t>ITEM026</t>
  </si>
  <si>
    <t>ITEM027</t>
  </si>
  <si>
    <t>ITEM028</t>
  </si>
  <si>
    <t>Iron</t>
  </si>
  <si>
    <t>ITEM029</t>
  </si>
  <si>
    <t>ITEM030</t>
  </si>
  <si>
    <t>Mixer</t>
  </si>
  <si>
    <t>ITEM031</t>
  </si>
  <si>
    <t>Toaster</t>
  </si>
  <si>
    <t>ITEM032</t>
  </si>
  <si>
    <t>Dehumidifier</t>
  </si>
  <si>
    <t>ITEM033</t>
  </si>
  <si>
    <t>ITEM034</t>
  </si>
  <si>
    <t>ITEM035</t>
  </si>
  <si>
    <t>ITEM036</t>
  </si>
  <si>
    <t>ITEM037</t>
  </si>
  <si>
    <t>Clothes Dryer</t>
  </si>
  <si>
    <t>ITEM038</t>
  </si>
  <si>
    <t>ITEM039</t>
  </si>
  <si>
    <t>ITEM040</t>
  </si>
  <si>
    <t>ITEM041</t>
  </si>
  <si>
    <t>ITEM042</t>
  </si>
  <si>
    <t>ITEM043</t>
  </si>
  <si>
    <t>ITEM044</t>
  </si>
  <si>
    <t>ITEM045</t>
  </si>
  <si>
    <t>ITEM046</t>
  </si>
  <si>
    <t>ITEM047</t>
  </si>
  <si>
    <t>ITEM048</t>
  </si>
  <si>
    <t>ITEM049</t>
  </si>
  <si>
    <t>ITEM050</t>
  </si>
  <si>
    <t>ITEM051</t>
  </si>
  <si>
    <t>ITEM052</t>
  </si>
  <si>
    <t>ITEM053</t>
  </si>
  <si>
    <t>ITEM054</t>
  </si>
  <si>
    <t>ITEM055</t>
  </si>
  <si>
    <t>ITEM056</t>
  </si>
  <si>
    <t>ITEM057</t>
  </si>
  <si>
    <t>ITEM058</t>
  </si>
  <si>
    <t>ITEM059</t>
  </si>
  <si>
    <t>ITEM060</t>
  </si>
  <si>
    <t>ITEM061</t>
  </si>
  <si>
    <t>ITEM062</t>
  </si>
  <si>
    <t>ITEM063</t>
  </si>
  <si>
    <t>ITEM064</t>
  </si>
  <si>
    <t>ITEM065</t>
  </si>
  <si>
    <t>ITEM066</t>
  </si>
  <si>
    <t>ITEM067</t>
  </si>
  <si>
    <t>ITEM068</t>
  </si>
  <si>
    <t>ITEM069</t>
  </si>
  <si>
    <t>ITEM070</t>
  </si>
  <si>
    <t>ITEM071</t>
  </si>
  <si>
    <t>ITEM072</t>
  </si>
  <si>
    <t>ITEM073</t>
  </si>
  <si>
    <t>ITEM074</t>
  </si>
  <si>
    <t>ITEM075</t>
  </si>
  <si>
    <t>ITEM076</t>
  </si>
  <si>
    <t>ITEM077</t>
  </si>
  <si>
    <t>ITEM078</t>
  </si>
  <si>
    <t>ITEM079</t>
  </si>
  <si>
    <t>ITEM080</t>
  </si>
  <si>
    <t>ITEM081</t>
  </si>
  <si>
    <t>ITEM082</t>
  </si>
  <si>
    <t>ITEM083</t>
  </si>
  <si>
    <t>ITEM084</t>
  </si>
  <si>
    <t>ITEM085</t>
  </si>
  <si>
    <t>ITEM086</t>
  </si>
  <si>
    <t>ITEM087</t>
  </si>
  <si>
    <t>ITEM088</t>
  </si>
  <si>
    <t>ITEM089</t>
  </si>
  <si>
    <t>ITEM090</t>
  </si>
  <si>
    <t>ITEM091</t>
  </si>
  <si>
    <t>ITEM092</t>
  </si>
  <si>
    <t>ITEM093</t>
  </si>
  <si>
    <t>ITEM094</t>
  </si>
  <si>
    <t>ITEM095</t>
  </si>
  <si>
    <t>ITEM096</t>
  </si>
  <si>
    <t>ITEM097</t>
  </si>
  <si>
    <t>ITEM098</t>
  </si>
  <si>
    <t>ITEM099</t>
  </si>
  <si>
    <t>ITEM100</t>
  </si>
  <si>
    <t>ITEM101</t>
  </si>
  <si>
    <t>ITEM102</t>
  </si>
  <si>
    <t>ITEM103</t>
  </si>
  <si>
    <t>ITEM104</t>
  </si>
  <si>
    <t>ITEM105</t>
  </si>
  <si>
    <t>ITEM106</t>
  </si>
  <si>
    <t>ITEM107</t>
  </si>
  <si>
    <t>ITEM108</t>
  </si>
  <si>
    <t>ITEM109</t>
  </si>
  <si>
    <t>ITEM110</t>
  </si>
  <si>
    <t>ITEM111</t>
  </si>
  <si>
    <t>ITEM112</t>
  </si>
  <si>
    <t>ITEM113</t>
  </si>
  <si>
    <t>ITEM114</t>
  </si>
  <si>
    <t>ITEM115</t>
  </si>
  <si>
    <t>ITEM116</t>
  </si>
  <si>
    <t>ITEM117</t>
  </si>
  <si>
    <t>Blender</t>
  </si>
  <si>
    <t>ITEM118</t>
  </si>
  <si>
    <t>ITEM119</t>
  </si>
  <si>
    <t>ITEM120</t>
  </si>
  <si>
    <t>ITEM121</t>
  </si>
  <si>
    <t>ITEM122</t>
  </si>
  <si>
    <t>ITEM123</t>
  </si>
  <si>
    <t>ITEM124</t>
  </si>
  <si>
    <t>ITEM125</t>
  </si>
  <si>
    <t>ITEM126</t>
  </si>
  <si>
    <t>ITEM127</t>
  </si>
  <si>
    <t>ITEM128</t>
  </si>
  <si>
    <t>ITEM129</t>
  </si>
  <si>
    <t>ITEM130</t>
  </si>
  <si>
    <t>ITEM131</t>
  </si>
  <si>
    <t>ITEM132</t>
  </si>
  <si>
    <t>ITEM133</t>
  </si>
  <si>
    <t>ITEM134</t>
  </si>
  <si>
    <t>ITEM135</t>
  </si>
  <si>
    <t>ITEM136</t>
  </si>
  <si>
    <t>ITEM137</t>
  </si>
  <si>
    <t>ITEM138</t>
  </si>
  <si>
    <t>ITEM139</t>
  </si>
  <si>
    <t>ITEM140</t>
  </si>
  <si>
    <t>ITEM141</t>
  </si>
  <si>
    <t>ITEM142</t>
  </si>
  <si>
    <t>ITEM143</t>
  </si>
  <si>
    <t>ITEM144</t>
  </si>
  <si>
    <t>ITEM145</t>
  </si>
  <si>
    <t>ITEM146</t>
  </si>
  <si>
    <t>ITEM147</t>
  </si>
  <si>
    <t>ITEM148</t>
  </si>
  <si>
    <t>ITEM149</t>
  </si>
  <si>
    <t>ITEM150</t>
  </si>
  <si>
    <t>ITEM151</t>
  </si>
  <si>
    <t>ITEM152</t>
  </si>
  <si>
    <t>ITEM153</t>
  </si>
  <si>
    <t>ITEM154</t>
  </si>
  <si>
    <t>ITEM155</t>
  </si>
  <si>
    <t>ITEM156</t>
  </si>
  <si>
    <t>ITEM157</t>
  </si>
  <si>
    <t>ITEM158</t>
  </si>
  <si>
    <t>ITEM159</t>
  </si>
  <si>
    <t>ITEM160</t>
  </si>
  <si>
    <t>ITEM161</t>
  </si>
  <si>
    <t>ITEM162</t>
  </si>
  <si>
    <t>ITEM163</t>
  </si>
  <si>
    <t>ITEM164</t>
  </si>
  <si>
    <t>ITEM165</t>
  </si>
  <si>
    <t>ITEM166</t>
  </si>
  <si>
    <t>ITEM167</t>
  </si>
  <si>
    <t>ITEM168</t>
  </si>
  <si>
    <t>ITEM169</t>
  </si>
  <si>
    <t>ITEM170</t>
  </si>
  <si>
    <t>ITEM171</t>
  </si>
  <si>
    <t>ITEM172</t>
  </si>
  <si>
    <t>ITEM173</t>
  </si>
  <si>
    <t>ITEM174</t>
  </si>
  <si>
    <t>ITEM175</t>
  </si>
  <si>
    <t>ITEM176</t>
  </si>
  <si>
    <t>ITEM177</t>
  </si>
  <si>
    <t>ITEM178</t>
  </si>
  <si>
    <t>ITEM179</t>
  </si>
  <si>
    <t>ITEM180</t>
  </si>
  <si>
    <t>ITEM181</t>
  </si>
  <si>
    <t>ITEM182</t>
  </si>
  <si>
    <t>ITEM183</t>
  </si>
  <si>
    <t>ITEM184</t>
  </si>
  <si>
    <t>ITEM185</t>
  </si>
  <si>
    <t>ITEM186</t>
  </si>
  <si>
    <t>ITEM187</t>
  </si>
  <si>
    <t>ITEM188</t>
  </si>
  <si>
    <t>ITEM189</t>
  </si>
  <si>
    <t>ITEM190</t>
  </si>
  <si>
    <t>ITEM191</t>
  </si>
  <si>
    <t>ITEM192</t>
  </si>
  <si>
    <t>ITEM193</t>
  </si>
  <si>
    <t>ITEM194</t>
  </si>
  <si>
    <t>ITEM195</t>
  </si>
  <si>
    <t>ITEM196</t>
  </si>
  <si>
    <t>ITEM197</t>
  </si>
  <si>
    <t>ITEM198</t>
  </si>
  <si>
    <t>ITEM199</t>
  </si>
  <si>
    <t>ITEM200</t>
  </si>
  <si>
    <t>ITEM201</t>
  </si>
  <si>
    <t>ITEM202</t>
  </si>
  <si>
    <t>ITEM203</t>
  </si>
  <si>
    <t>ITEM204</t>
  </si>
  <si>
    <t>ITEM205</t>
  </si>
  <si>
    <t>ITEM206</t>
  </si>
  <si>
    <t>ITEM207</t>
  </si>
  <si>
    <t>ITEM208</t>
  </si>
  <si>
    <t>ITEM209</t>
  </si>
  <si>
    <t>ITEM210</t>
  </si>
  <si>
    <t>ITEM211</t>
  </si>
  <si>
    <t>ITEM212</t>
  </si>
  <si>
    <t>ITEM213</t>
  </si>
  <si>
    <t>ITEM214</t>
  </si>
  <si>
    <t>ITEM215</t>
  </si>
  <si>
    <t>ITEM216</t>
  </si>
  <si>
    <t>ITEM217</t>
  </si>
  <si>
    <t>ITEM218</t>
  </si>
  <si>
    <t>ITEM219</t>
  </si>
  <si>
    <t>ITEM220</t>
  </si>
  <si>
    <t>ITEM221</t>
  </si>
  <si>
    <t>ITEM222</t>
  </si>
  <si>
    <t>ITEM223</t>
  </si>
  <si>
    <t>ITEM224</t>
  </si>
  <si>
    <t>ITEM225</t>
  </si>
  <si>
    <t>ITEM226</t>
  </si>
  <si>
    <t>ITEM227</t>
  </si>
  <si>
    <t>ITEM228</t>
  </si>
  <si>
    <t>ITEM229</t>
  </si>
  <si>
    <t>ITEM230</t>
  </si>
  <si>
    <t>ITEM231</t>
  </si>
  <si>
    <t>ITEM232</t>
  </si>
  <si>
    <t>ITEM233</t>
  </si>
  <si>
    <t>ITEM234</t>
  </si>
  <si>
    <t>ITEM235</t>
  </si>
  <si>
    <t>ITEM236</t>
  </si>
  <si>
    <t>ITEM237</t>
  </si>
  <si>
    <t>ITEM238</t>
  </si>
  <si>
    <t>ITEM239</t>
  </si>
  <si>
    <t>ITEM240</t>
  </si>
  <si>
    <t>ITEM241</t>
  </si>
  <si>
    <t>ITEM242</t>
  </si>
  <si>
    <t>ITEM243</t>
  </si>
  <si>
    <t>ITEM244</t>
  </si>
  <si>
    <t>ITEM245</t>
  </si>
  <si>
    <t>ITEM246</t>
  </si>
  <si>
    <t>ITEM247</t>
  </si>
  <si>
    <t>ITEM248</t>
  </si>
  <si>
    <t>ITEM249</t>
  </si>
  <si>
    <t>ITEM250</t>
  </si>
  <si>
    <t>ITEM251</t>
  </si>
  <si>
    <t>ITEM252</t>
  </si>
  <si>
    <t>ITEM253</t>
  </si>
  <si>
    <t>ITEM254</t>
  </si>
  <si>
    <t>ITEM255</t>
  </si>
  <si>
    <t>ITEM256</t>
  </si>
  <si>
    <t>ITEM257</t>
  </si>
  <si>
    <t>ITEM258</t>
  </si>
  <si>
    <t>ITEM259</t>
  </si>
  <si>
    <t>ITEM260</t>
  </si>
  <si>
    <t>ITEM261</t>
  </si>
  <si>
    <t>ITEM262</t>
  </si>
  <si>
    <t>ITEM263</t>
  </si>
  <si>
    <t>ITEM264</t>
  </si>
  <si>
    <t>ITEM265</t>
  </si>
  <si>
    <t>ITEM266</t>
  </si>
  <si>
    <t>ITEM267</t>
  </si>
  <si>
    <t>ITEM268</t>
  </si>
  <si>
    <t>ITEM269</t>
  </si>
  <si>
    <t>ITEM270</t>
  </si>
  <si>
    <t>ITEM271</t>
  </si>
  <si>
    <t>ITEM272</t>
  </si>
  <si>
    <t>ITEM273</t>
  </si>
  <si>
    <t>ITEM274</t>
  </si>
  <si>
    <t>ITEM275</t>
  </si>
  <si>
    <t>ITEM276</t>
  </si>
  <si>
    <t>ITEM277</t>
  </si>
  <si>
    <t>ITEM278</t>
  </si>
  <si>
    <t>ITEM279</t>
  </si>
  <si>
    <t>ITEM280</t>
  </si>
  <si>
    <t>ITEM281</t>
  </si>
  <si>
    <t>ITEM282</t>
  </si>
  <si>
    <t>ITEM283</t>
  </si>
  <si>
    <t>ITEM284</t>
  </si>
  <si>
    <t>ITEM285</t>
  </si>
  <si>
    <t>ITEM286</t>
  </si>
  <si>
    <t>ITEM287</t>
  </si>
  <si>
    <t>ITEM288</t>
  </si>
  <si>
    <t>ITEM289</t>
  </si>
  <si>
    <t>ITEM290</t>
  </si>
  <si>
    <t>ITEM291</t>
  </si>
  <si>
    <t>ITEM292</t>
  </si>
  <si>
    <t>ITEM293</t>
  </si>
  <si>
    <t>ITEM294</t>
  </si>
  <si>
    <t>ITEM295</t>
  </si>
  <si>
    <t>ITEM296</t>
  </si>
  <si>
    <t>ITEM297</t>
  </si>
  <si>
    <t>ITEM298</t>
  </si>
  <si>
    <t>ITEM299</t>
  </si>
  <si>
    <t>ITEM300</t>
  </si>
  <si>
    <t>ITEM301</t>
  </si>
  <si>
    <t>ITEM302</t>
  </si>
  <si>
    <t>ITEM303</t>
  </si>
  <si>
    <t>ITEM304</t>
  </si>
  <si>
    <t>ITEM305</t>
  </si>
  <si>
    <t>ITEM306</t>
  </si>
  <si>
    <t>ITEM307</t>
  </si>
  <si>
    <t>ITEM308</t>
  </si>
  <si>
    <t>ITEM309</t>
  </si>
  <si>
    <t>ITEM310</t>
  </si>
  <si>
    <t>ITEM311</t>
  </si>
  <si>
    <t>ITEM312</t>
  </si>
  <si>
    <t>ITEM313</t>
  </si>
  <si>
    <t>ITEM314</t>
  </si>
  <si>
    <t>ITEM315</t>
  </si>
  <si>
    <t>ITEM316</t>
  </si>
  <si>
    <t>ITEM317</t>
  </si>
  <si>
    <t>ITEM318</t>
  </si>
  <si>
    <t>ITEM319</t>
  </si>
  <si>
    <t>ITEM320</t>
  </si>
  <si>
    <t>ITEM321</t>
  </si>
  <si>
    <t>ITEM322</t>
  </si>
  <si>
    <t>ITEM323</t>
  </si>
  <si>
    <t>ITEM324</t>
  </si>
  <si>
    <t>ITEM325</t>
  </si>
  <si>
    <t>ITEM326</t>
  </si>
  <si>
    <t>ITEM327</t>
  </si>
  <si>
    <t>ITEM328</t>
  </si>
  <si>
    <t>ITEM329</t>
  </si>
  <si>
    <t>ITEM330</t>
  </si>
  <si>
    <t>ITEM331</t>
  </si>
  <si>
    <t>ITEM332</t>
  </si>
  <si>
    <t>ITEM333</t>
  </si>
  <si>
    <t>ITEM334</t>
  </si>
  <si>
    <t>ITEM335</t>
  </si>
  <si>
    <t>ITEM336</t>
  </si>
  <si>
    <t>ITEM337</t>
  </si>
  <si>
    <t>ITEM338</t>
  </si>
  <si>
    <t>ITEM339</t>
  </si>
  <si>
    <t>ITEM340</t>
  </si>
  <si>
    <t>ITEM341</t>
  </si>
  <si>
    <t>ITEM342</t>
  </si>
  <si>
    <t>ITEM343</t>
  </si>
  <si>
    <t>ITEM344</t>
  </si>
  <si>
    <t>ITEM345</t>
  </si>
  <si>
    <t>ITEM346</t>
  </si>
  <si>
    <t>ITEM347</t>
  </si>
  <si>
    <t>ITEM348</t>
  </si>
  <si>
    <t>ITEM349</t>
  </si>
  <si>
    <t>ITEM350</t>
  </si>
  <si>
    <t>ITEM351</t>
  </si>
  <si>
    <t>ITEM352</t>
  </si>
  <si>
    <t>ITEM353</t>
  </si>
  <si>
    <t>ITEM354</t>
  </si>
  <si>
    <t>ITEM355</t>
  </si>
  <si>
    <t>ITEM356</t>
  </si>
  <si>
    <t>ITEM357</t>
  </si>
  <si>
    <t>ITEM358</t>
  </si>
  <si>
    <t>ITEM359</t>
  </si>
  <si>
    <t>ITEM360</t>
  </si>
  <si>
    <t>ITEM361</t>
  </si>
  <si>
    <t>ITEM362</t>
  </si>
  <si>
    <t>ITEM363</t>
  </si>
  <si>
    <t>ITEM364</t>
  </si>
  <si>
    <t>ITEM365</t>
  </si>
  <si>
    <t>ITEM366</t>
  </si>
  <si>
    <t>ITEM367</t>
  </si>
  <si>
    <t>ITEM368</t>
  </si>
  <si>
    <t>ITEM369</t>
  </si>
  <si>
    <t>ITEM370</t>
  </si>
  <si>
    <t>ITEM371</t>
  </si>
  <si>
    <t>ITEM372</t>
  </si>
  <si>
    <t>ITEM373</t>
  </si>
  <si>
    <t>ITEM374</t>
  </si>
  <si>
    <t>ITEM375</t>
  </si>
  <si>
    <t>ITEM376</t>
  </si>
  <si>
    <t>ITEM377</t>
  </si>
  <si>
    <t>ITEM378</t>
  </si>
  <si>
    <t>ITEM379</t>
  </si>
  <si>
    <t>ITEM380</t>
  </si>
  <si>
    <t>ITEM381</t>
  </si>
  <si>
    <t>ITEM382</t>
  </si>
  <si>
    <t>ITEM383</t>
  </si>
  <si>
    <t>ITEM384</t>
  </si>
  <si>
    <t>ITEM385</t>
  </si>
  <si>
    <t>ITEM386</t>
  </si>
  <si>
    <t>ITEM387</t>
  </si>
  <si>
    <t>ITEM388</t>
  </si>
  <si>
    <t>ITEM389</t>
  </si>
  <si>
    <t>ITEM390</t>
  </si>
  <si>
    <t>ITEM391</t>
  </si>
  <si>
    <t>ITEM392</t>
  </si>
  <si>
    <t>ITEM393</t>
  </si>
  <si>
    <t>ITEM394</t>
  </si>
  <si>
    <t>ITEM395</t>
  </si>
  <si>
    <t>ITEM396</t>
  </si>
  <si>
    <t>ITEM397</t>
  </si>
  <si>
    <t>ITEM398</t>
  </si>
  <si>
    <t>ITEM399</t>
  </si>
  <si>
    <t>ITEM400</t>
  </si>
  <si>
    <t>ITEM401</t>
  </si>
  <si>
    <t>ITEM402</t>
  </si>
  <si>
    <t>ITEM403</t>
  </si>
  <si>
    <t>ITEM404</t>
  </si>
  <si>
    <t>ITEM405</t>
  </si>
  <si>
    <t>ITEM406</t>
  </si>
  <si>
    <t>ITEM407</t>
  </si>
  <si>
    <t>ITEM408</t>
  </si>
  <si>
    <t>ITEM409</t>
  </si>
  <si>
    <t>ITEM410</t>
  </si>
  <si>
    <t>ITEM411</t>
  </si>
  <si>
    <t>ITEM412</t>
  </si>
  <si>
    <t>ITEM413</t>
  </si>
  <si>
    <t>ITEM414</t>
  </si>
  <si>
    <t>ITEM415</t>
  </si>
  <si>
    <t>ITEM416</t>
  </si>
  <si>
    <t>ITEM417</t>
  </si>
  <si>
    <t>ITEM418</t>
  </si>
  <si>
    <t>ITEM419</t>
  </si>
  <si>
    <t>ITEM420</t>
  </si>
  <si>
    <t>ITEM421</t>
  </si>
  <si>
    <t>ITEM422</t>
  </si>
  <si>
    <t>ITEM423</t>
  </si>
  <si>
    <t>ITEM424</t>
  </si>
  <si>
    <t>ITEM425</t>
  </si>
  <si>
    <t>ITEM426</t>
  </si>
  <si>
    <t>ITEM427</t>
  </si>
  <si>
    <t>ITEM428</t>
  </si>
  <si>
    <t>ITEM429</t>
  </si>
  <si>
    <t>ITEM430</t>
  </si>
  <si>
    <t>ITEM431</t>
  </si>
  <si>
    <t>ITEM432</t>
  </si>
  <si>
    <t>ITEM433</t>
  </si>
  <si>
    <t>ITEM434</t>
  </si>
  <si>
    <t>ITEM435</t>
  </si>
  <si>
    <t>ITEM436</t>
  </si>
  <si>
    <t>ITEM437</t>
  </si>
  <si>
    <t>ITEM438</t>
  </si>
  <si>
    <t>ITEM439</t>
  </si>
  <si>
    <t>ITEM440</t>
  </si>
  <si>
    <t>ITEM441</t>
  </si>
  <si>
    <t>ITEM442</t>
  </si>
  <si>
    <t>ITEM443</t>
  </si>
  <si>
    <t>ITEM444</t>
  </si>
  <si>
    <t>ITEM445</t>
  </si>
  <si>
    <t>ITEM446</t>
  </si>
  <si>
    <t>ITEM447</t>
  </si>
  <si>
    <t>ITEM448</t>
  </si>
  <si>
    <t>ITEM449</t>
  </si>
  <si>
    <t>ITEM450</t>
  </si>
  <si>
    <t>ITEM451</t>
  </si>
  <si>
    <t>ITEM452</t>
  </si>
  <si>
    <t>ITEM453</t>
  </si>
  <si>
    <t>ITEM454</t>
  </si>
  <si>
    <t>ITEM455</t>
  </si>
  <si>
    <t>ITEM456</t>
  </si>
  <si>
    <t>ITEM457</t>
  </si>
  <si>
    <t>ITEM458</t>
  </si>
  <si>
    <t>ITEM459</t>
  </si>
  <si>
    <t>ITEM460</t>
  </si>
  <si>
    <t>ITEM461</t>
  </si>
  <si>
    <t>ITEM462</t>
  </si>
  <si>
    <t>ITEM463</t>
  </si>
  <si>
    <t>ITEM464</t>
  </si>
  <si>
    <t>ITEM465</t>
  </si>
  <si>
    <t>ITEM466</t>
  </si>
  <si>
    <t>ITEM467</t>
  </si>
  <si>
    <t>ITEM468</t>
  </si>
  <si>
    <t>ITEM469</t>
  </si>
  <si>
    <t>ITEM470</t>
  </si>
  <si>
    <t>ITEM471</t>
  </si>
  <si>
    <t>ITEM472</t>
  </si>
  <si>
    <t>ITEM473</t>
  </si>
  <si>
    <t>ITEM474</t>
  </si>
  <si>
    <t>ITEM475</t>
  </si>
  <si>
    <t>ITEM476</t>
  </si>
  <si>
    <t>ITEM477</t>
  </si>
  <si>
    <t>ITEM478</t>
  </si>
  <si>
    <t>ITEM479</t>
  </si>
  <si>
    <t>ITEM480</t>
  </si>
  <si>
    <t>ITEM481</t>
  </si>
  <si>
    <t>ITEM482</t>
  </si>
  <si>
    <t>ITEM483</t>
  </si>
  <si>
    <t>ITEM484</t>
  </si>
  <si>
    <t>ITEM485</t>
  </si>
  <si>
    <t>ITEM486</t>
  </si>
  <si>
    <t>ITEM487</t>
  </si>
  <si>
    <t>ITEM488</t>
  </si>
  <si>
    <t>ITEM489</t>
  </si>
  <si>
    <t>ITEM490</t>
  </si>
  <si>
    <t>ITEM491</t>
  </si>
  <si>
    <t>ITEM492</t>
  </si>
  <si>
    <t>ITEM493</t>
  </si>
  <si>
    <t>ITEM494</t>
  </si>
  <si>
    <t>ITEM495</t>
  </si>
  <si>
    <t>ITEM496</t>
  </si>
  <si>
    <t>ITEM497</t>
  </si>
  <si>
    <t>ITEM498</t>
  </si>
  <si>
    <t>ITEM499</t>
  </si>
  <si>
    <t>ITEM500</t>
  </si>
  <si>
    <t>supplier_name</t>
  </si>
  <si>
    <t>location</t>
  </si>
  <si>
    <t>contact_number</t>
  </si>
  <si>
    <t>rating</t>
  </si>
  <si>
    <t>ElectroHub</t>
  </si>
  <si>
    <t>Manila</t>
  </si>
  <si>
    <t>HomeWareX</t>
  </si>
  <si>
    <t>Quezon City</t>
  </si>
  <si>
    <t>MegaSupply</t>
  </si>
  <si>
    <t>Makati</t>
  </si>
  <si>
    <t>SM</t>
  </si>
  <si>
    <t>Cebu</t>
  </si>
  <si>
    <t>TechSupplies Inc</t>
  </si>
  <si>
    <t>Davao</t>
  </si>
  <si>
    <t>shipment_id</t>
  </si>
  <si>
    <t>quantity</t>
  </si>
  <si>
    <t>shipment_date</t>
  </si>
  <si>
    <t>delivery_date</t>
  </si>
  <si>
    <t>status</t>
  </si>
  <si>
    <t>year</t>
  </si>
  <si>
    <t>month</t>
  </si>
  <si>
    <t>quarter</t>
  </si>
  <si>
    <t>week</t>
  </si>
  <si>
    <t>SHIP0077</t>
  </si>
  <si>
    <t>Delayed</t>
  </si>
  <si>
    <t>SHIP0121</t>
  </si>
  <si>
    <t>SHIP0387</t>
  </si>
  <si>
    <t>Delivered</t>
  </si>
  <si>
    <t>SHIP0409</t>
  </si>
  <si>
    <t>SHIP0315</t>
  </si>
  <si>
    <t>SHIP0237</t>
  </si>
  <si>
    <t>SHIP0390</t>
  </si>
  <si>
    <t>SHIP0109</t>
  </si>
  <si>
    <t>SHIP0300</t>
  </si>
  <si>
    <t>SHIP0336</t>
  </si>
  <si>
    <t>SHIP0425</t>
  </si>
  <si>
    <t>SHIP0108</t>
  </si>
  <si>
    <t>SHIP0073</t>
  </si>
  <si>
    <t>Pending</t>
  </si>
  <si>
    <t>SHIP0485</t>
  </si>
  <si>
    <t>SHIP0140</t>
  </si>
  <si>
    <t>SHIP0178</t>
  </si>
  <si>
    <t>SHIP0339</t>
  </si>
  <si>
    <t>SHIP0287</t>
  </si>
  <si>
    <t>SHIP0378</t>
  </si>
  <si>
    <t>SHIP0048</t>
  </si>
  <si>
    <t>SHIP0058</t>
  </si>
  <si>
    <t>SHIP0441</t>
  </si>
  <si>
    <t>SHIP0371</t>
  </si>
  <si>
    <t>SHIP0445</t>
  </si>
  <si>
    <t>SHIP0301</t>
  </si>
  <si>
    <t>SHIP0153</t>
  </si>
  <si>
    <t>SHIP0454</t>
  </si>
  <si>
    <t>SHIP0373</t>
  </si>
  <si>
    <t>SHIP0268</t>
  </si>
  <si>
    <t>SHIP0370</t>
  </si>
  <si>
    <t>SHIP0484</t>
  </si>
  <si>
    <t>SHIP0098</t>
  </si>
  <si>
    <t>SHIP0001</t>
  </si>
  <si>
    <t>SHIP0367</t>
  </si>
  <si>
    <t>SHIP0411</t>
  </si>
  <si>
    <t>SHIP0481</t>
  </si>
  <si>
    <t>SHIP0482</t>
  </si>
  <si>
    <t>SHIP0053</t>
  </si>
  <si>
    <t>SHIP0296</t>
  </si>
  <si>
    <t>SHIP0326</t>
  </si>
  <si>
    <t>SHIP0119</t>
  </si>
  <si>
    <t>SHIP0016</t>
  </si>
  <si>
    <t>SHIP0225</t>
  </si>
  <si>
    <t>SHIP0189</t>
  </si>
  <si>
    <t>SHIP0027</t>
  </si>
  <si>
    <t>SHIP0183</t>
  </si>
  <si>
    <t>SHIP0002</t>
  </si>
  <si>
    <t>SHIP0165</t>
  </si>
  <si>
    <t>SHIP0447</t>
  </si>
  <si>
    <t>SHIP0003</t>
  </si>
  <si>
    <t>SHIP0410</t>
  </si>
  <si>
    <t>SHIP0472</t>
  </si>
  <si>
    <t>SHIP0500</t>
  </si>
  <si>
    <t>SHIP0136</t>
  </si>
  <si>
    <t>SHIP0361</t>
  </si>
  <si>
    <t>SHIP0424</t>
  </si>
  <si>
    <t>SHIP0168</t>
  </si>
  <si>
    <t>SHIP0049</t>
  </si>
  <si>
    <t>SHIP0095</t>
  </si>
  <si>
    <t>SHIP0302</t>
  </si>
  <si>
    <t>SHIP0127</t>
  </si>
  <si>
    <t>SHIP0327</t>
  </si>
  <si>
    <t>SHIP0434</t>
  </si>
  <si>
    <t>SHIP0210</t>
  </si>
  <si>
    <t>SHIP0100</t>
  </si>
  <si>
    <t>SHIP0255</t>
  </si>
  <si>
    <t>SHIP0223</t>
  </si>
  <si>
    <t>SHIP0093</t>
  </si>
  <si>
    <t>SHIP0172</t>
  </si>
  <si>
    <t>SHIP0414</t>
  </si>
  <si>
    <t>SHIP0451</t>
  </si>
  <si>
    <t>SHIP0358</t>
  </si>
  <si>
    <t>SHIP0111</t>
  </si>
  <si>
    <t>SHIP0082</t>
  </si>
  <si>
    <t>SHIP0110</t>
  </si>
  <si>
    <t>SHIP0198</t>
  </si>
  <si>
    <t>SHIP0177</t>
  </si>
  <si>
    <t>SHIP0214</t>
  </si>
  <si>
    <t>SHIP0008</t>
  </si>
  <si>
    <t>SHIP0452</t>
  </si>
  <si>
    <t>SHIP0253</t>
  </si>
  <si>
    <t>SHIP0311</t>
  </si>
  <si>
    <t>SHIP0280</t>
  </si>
  <si>
    <t>SHIP0148</t>
  </si>
  <si>
    <t>SHIP0379</t>
  </si>
  <si>
    <t>SHIP0490</t>
  </si>
  <si>
    <t>SHIP0035</t>
  </si>
  <si>
    <t>SHIP0234</t>
  </si>
  <si>
    <t>SHIP0065</t>
  </si>
  <si>
    <t>SHIP0324</t>
  </si>
  <si>
    <t>SHIP0219</t>
  </si>
  <si>
    <t>SHIP0232</t>
  </si>
  <si>
    <t>SHIP0278</t>
  </si>
  <si>
    <t>SHIP0006</t>
  </si>
  <si>
    <t>SHIP0123</t>
  </si>
  <si>
    <t>SHIP0395</t>
  </si>
  <si>
    <t>SHIP0128</t>
  </si>
  <si>
    <t>SHIP0221</t>
  </si>
  <si>
    <t>SHIP0494</t>
  </si>
  <si>
    <t>SHIP0316</t>
  </si>
  <si>
    <t>SHIP0199</t>
  </si>
  <si>
    <t>SHIP0074</t>
  </si>
  <si>
    <t>SHIP0186</t>
  </si>
  <si>
    <t>SHIP0046</t>
  </si>
  <si>
    <t>SHIP0328</t>
  </si>
  <si>
    <t>SHIP0398</t>
  </si>
  <si>
    <t>SHIP0430</t>
  </si>
  <si>
    <t>SHIP0479</t>
  </si>
  <si>
    <t>SHIP0147</t>
  </si>
  <si>
    <t>SHIP0218</t>
  </si>
  <si>
    <t>SHIP0345</t>
  </si>
  <si>
    <t>SHIP0366</t>
  </si>
  <si>
    <t>SHIP0347</t>
  </si>
  <si>
    <t>SHIP0487</t>
  </si>
  <si>
    <t>SHIP0091</t>
  </si>
  <si>
    <t>SHIP0305</t>
  </si>
  <si>
    <t>SHIP0394</t>
  </si>
  <si>
    <t>SHIP0480</t>
  </si>
  <si>
    <t>SHIP0154</t>
  </si>
  <si>
    <t>SHIP0235</t>
  </si>
  <si>
    <t>SHIP0231</t>
  </si>
  <si>
    <t>SHIP0319</t>
  </si>
  <si>
    <t>SHIP0475</t>
  </si>
  <si>
    <t>SHIP0024</t>
  </si>
  <si>
    <t>SHIP0276</t>
  </si>
  <si>
    <t>SHIP0364</t>
  </si>
  <si>
    <t>SHIP0312</t>
  </si>
  <si>
    <t>SHIP0134</t>
  </si>
  <si>
    <t>SHIP0215</t>
  </si>
  <si>
    <t>SHIP0393</t>
  </si>
  <si>
    <t>SHIP0408</t>
  </si>
  <si>
    <t>SHIP0117</t>
  </si>
  <si>
    <t>SHIP0270</t>
  </si>
  <si>
    <t>SHIP0282</t>
  </si>
  <si>
    <t>SHIP0322</t>
  </si>
  <si>
    <t>SHIP0144</t>
  </si>
  <si>
    <t>SHIP0197</t>
  </si>
  <si>
    <t>SHIP0290</t>
  </si>
  <si>
    <t>SHIP0313</t>
  </si>
  <si>
    <t>SHIP0435</t>
  </si>
  <si>
    <t>SHIP0055</t>
  </si>
  <si>
    <t>SHIP0068</t>
  </si>
  <si>
    <t>SHIP0092</t>
  </si>
  <si>
    <t>SHIP0317</t>
  </si>
  <si>
    <t>SHIP0162</t>
  </si>
  <si>
    <t>SHIP0489</t>
  </si>
  <si>
    <t>SHIP0079</t>
  </si>
  <si>
    <t>SHIP0286</t>
  </si>
  <si>
    <t>SHIP0229</t>
  </si>
  <si>
    <t>SHIP0066</t>
  </si>
  <si>
    <t>SHIP0088</t>
  </si>
  <si>
    <t>SHIP0476</t>
  </si>
  <si>
    <t>SHIP0116</t>
  </si>
  <si>
    <t>SHIP0201</t>
  </si>
  <si>
    <t>SHIP0292</t>
  </si>
  <si>
    <t>SHIP0407</t>
  </si>
  <si>
    <t>SHIP0161</t>
  </si>
  <si>
    <t>SHIP0018</t>
  </si>
  <si>
    <t>SHIP0459</t>
  </si>
  <si>
    <t>SHIP0017</t>
  </si>
  <si>
    <t>SHIP0039</t>
  </si>
  <si>
    <t>SHIP0288</t>
  </si>
  <si>
    <t>SHIP0389</t>
  </si>
  <si>
    <t>SHIP0458</t>
  </si>
  <si>
    <t>SHIP0483</t>
  </si>
  <si>
    <t>SHIP0254</t>
  </si>
  <si>
    <t>SHIP0031</t>
  </si>
  <si>
    <t>SHIP0057</t>
  </si>
  <si>
    <t>SHIP0303</t>
  </si>
  <si>
    <t>SHIP0462</t>
  </si>
  <si>
    <t>SHIP0238</t>
  </si>
  <si>
    <t>SHIP0086</t>
  </si>
  <si>
    <t>SHIP0146</t>
  </si>
  <si>
    <t>SHIP0363</t>
  </si>
  <si>
    <t>SHIP0064</t>
  </si>
  <si>
    <t>SHIP0160</t>
  </si>
  <si>
    <t>SHIP0226</t>
  </si>
  <si>
    <t>SHIP0294</t>
  </si>
  <si>
    <t>SHIP0325</t>
  </si>
  <si>
    <t>SHIP0356</t>
  </si>
  <si>
    <t>SHIP0469</t>
  </si>
  <si>
    <t>SHIP0264</t>
  </si>
  <si>
    <t>SHIP0450</t>
  </si>
  <si>
    <t>SHIP0045</t>
  </si>
  <si>
    <t>SHIP0272</t>
  </si>
  <si>
    <t>SHIP0281</t>
  </si>
  <si>
    <t>SHIP0236</t>
  </si>
  <si>
    <t>SHIP0418</t>
  </si>
  <si>
    <t>SHIP0036</t>
  </si>
  <si>
    <t>SHIP0213</t>
  </si>
  <si>
    <t>SHIP0383</t>
  </si>
  <si>
    <t>SHIP0062</t>
  </si>
  <si>
    <t>SHIP0103</t>
  </si>
  <si>
    <t>SHIP0386</t>
  </si>
  <si>
    <t>SHIP0351</t>
  </si>
  <si>
    <t>SHIP0488</t>
  </si>
  <si>
    <t>SHIP0474</t>
  </si>
  <si>
    <t>SHIP0152</t>
  </si>
  <si>
    <t>SHIP0348</t>
  </si>
  <si>
    <t>SHIP0329</t>
  </si>
  <si>
    <t>SHIP0083</t>
  </si>
  <si>
    <t>SHIP0277</t>
  </si>
  <si>
    <t>SHIP0331</t>
  </si>
  <si>
    <t>SHIP0220</t>
  </si>
  <si>
    <t>SHIP0427</t>
  </si>
  <si>
    <t>SHIP0337</t>
  </si>
  <si>
    <t>SHIP0402</t>
  </si>
  <si>
    <t>SHIP0274</t>
  </si>
  <si>
    <t>SHIP0139</t>
  </si>
  <si>
    <t>SHIP0069</t>
  </si>
  <si>
    <t>SHIP0070</t>
  </si>
  <si>
    <t>SHIP0449</t>
  </si>
  <si>
    <t>SHIP0467</t>
  </si>
  <si>
    <t>SHIP0138</t>
  </si>
  <si>
    <t>SHIP0432</t>
  </si>
  <si>
    <t>SHIP0063</t>
  </si>
  <si>
    <t>SHIP0142</t>
  </si>
  <si>
    <t>SHIP0415</t>
  </si>
  <si>
    <t>SHIP0419</t>
  </si>
  <si>
    <t>SHIP0021</t>
  </si>
  <si>
    <t>SHIP0030</t>
  </si>
  <si>
    <t>SHIP0044</t>
  </si>
  <si>
    <t>SHIP0171</t>
  </si>
  <si>
    <t>SHIP0497</t>
  </si>
  <si>
    <t>SHIP0396</t>
  </si>
  <si>
    <t>SHIP0338</t>
  </si>
  <si>
    <t>SHIP0257</t>
  </si>
  <si>
    <t>SHIP0308</t>
  </si>
  <si>
    <t>SHIP0381</t>
  </si>
  <si>
    <t>SHIP0242</t>
  </si>
  <si>
    <t>SHIP0259</t>
  </si>
  <si>
    <t>SHIP0113</t>
  </si>
  <si>
    <t>SHIP0141</t>
  </si>
  <si>
    <t>SHIP0020</t>
  </si>
  <si>
    <t>SHIP0465</t>
  </si>
  <si>
    <t>SHIP0206</t>
  </si>
  <si>
    <t>SHIP0413</t>
  </si>
  <si>
    <t>SHIP0022</t>
  </si>
  <si>
    <t>SHIP0437</t>
  </si>
  <si>
    <t>SHIP0114</t>
  </si>
  <si>
    <t>SHIP0037</t>
  </si>
  <si>
    <t>SHIP0107</t>
  </si>
  <si>
    <t>SHIP0388</t>
  </si>
  <si>
    <t>SHIP0009</t>
  </si>
  <si>
    <t>SHIP0354</t>
  </si>
  <si>
    <t>SHIP0372</t>
  </si>
  <si>
    <t>SHIP0269</t>
  </si>
  <si>
    <t>SHIP0380</t>
  </si>
  <si>
    <t>SHIP0491</t>
  </si>
  <si>
    <t>SHIP0250</t>
  </si>
  <si>
    <t>SHIP0190</t>
  </si>
  <si>
    <t>SHIP0042</t>
  </si>
  <si>
    <t>SHIP0420</t>
  </si>
  <si>
    <t>SHIP0423</t>
  </si>
  <si>
    <t>SHIP0289</t>
  </si>
  <si>
    <t>SHIP0124</t>
  </si>
  <si>
    <t>SHIP0375</t>
  </si>
  <si>
    <t>SHIP0477</t>
  </si>
  <si>
    <t>SHIP0061</t>
  </si>
  <si>
    <t>SHIP0156</t>
  </si>
  <si>
    <t>SHIP0208</t>
  </si>
  <si>
    <t>SHIP0192</t>
  </si>
  <si>
    <t>SHIP0081</t>
  </si>
  <si>
    <t>SHIP0271</t>
  </si>
  <si>
    <t>SHIP0204</t>
  </si>
  <si>
    <t>SHIP0230</t>
  </si>
  <si>
    <t>SHIP0352</t>
  </si>
  <si>
    <t>SHIP0332</t>
  </si>
  <si>
    <t>SHIP0143</t>
  </si>
  <si>
    <t>SHIP0240</t>
  </si>
  <si>
    <t>SHIP0052</t>
  </si>
  <si>
    <t>SHIP0105</t>
  </si>
  <si>
    <t>SHIP0428</t>
  </si>
  <si>
    <t>SHIP0470</t>
  </si>
  <si>
    <t>SHIP0115</t>
  </si>
  <si>
    <t>SHIP0266</t>
  </si>
  <si>
    <t>SHIP0335</t>
  </si>
  <si>
    <t>SHIP0047</t>
  </si>
  <si>
    <t>SHIP0125</t>
  </si>
  <si>
    <t>SHIP0252</t>
  </si>
  <si>
    <t>SHIP0015</t>
  </si>
  <si>
    <t>SHIP0453</t>
  </si>
  <si>
    <t>SHIP0496</t>
  </si>
  <si>
    <t>SHIP0344</t>
  </si>
  <si>
    <t>SHIP0080</t>
  </si>
  <si>
    <t>SHIP0439</t>
  </si>
  <si>
    <t>SHIP0097</t>
  </si>
  <si>
    <t>SHIP0246</t>
  </si>
  <si>
    <t>SHIP0285</t>
  </si>
  <si>
    <t>SHIP0359</t>
  </si>
  <si>
    <t>SHIP0392</t>
  </si>
  <si>
    <t>SHIP0284</t>
  </si>
  <si>
    <t>SHIP0299</t>
  </si>
  <si>
    <t>SHIP0256</t>
  </si>
  <si>
    <t>SHIP0341</t>
  </si>
  <si>
    <t>SHIP0478</t>
  </si>
  <si>
    <t>SHIP0258</t>
  </si>
  <si>
    <t>SHIP0471</t>
  </si>
  <si>
    <t>SHIP0026</t>
  </si>
  <si>
    <t>SHIP0368</t>
  </si>
  <si>
    <t>SHIP0167</t>
  </si>
  <si>
    <t>SHIP0495</t>
  </si>
  <si>
    <t>SHIP0038</t>
  </si>
  <si>
    <t>SHIP0185</t>
  </si>
  <si>
    <t>SHIP0217</t>
  </si>
  <si>
    <t>SHIP0241</t>
  </si>
  <si>
    <t>SHIP0323</t>
  </si>
  <si>
    <t>SHIP0377</t>
  </si>
  <si>
    <t>SHIP0412</t>
  </si>
  <si>
    <t>SHIP0089</t>
  </si>
  <si>
    <t>SHIP0120</t>
  </si>
  <si>
    <t>SHIP0076</t>
  </si>
  <si>
    <t>SHIP0247</t>
  </si>
  <si>
    <t>SHIP0056</t>
  </si>
  <si>
    <t>SHIP0314</t>
  </si>
  <si>
    <t>SHIP0340</t>
  </si>
  <si>
    <t>SHIP0072</t>
  </si>
  <si>
    <t>SHIP0205</t>
  </si>
  <si>
    <t>SHIP0260</t>
  </si>
  <si>
    <t>SHIP0343</t>
  </si>
  <si>
    <t>SHIP0157</t>
  </si>
  <si>
    <t>SHIP0133</t>
  </si>
  <si>
    <t>SHIP0275</t>
  </si>
  <si>
    <t>SHIP0166</t>
  </si>
  <si>
    <t>SHIP0464</t>
  </si>
  <si>
    <t>SHIP0493</t>
  </si>
  <si>
    <t>SHIP0004</t>
  </si>
  <si>
    <t>SHIP0130</t>
  </si>
  <si>
    <t>SHIP0461</t>
  </si>
  <si>
    <t>SHIP0304</t>
  </si>
  <si>
    <t>SHIP0112</t>
  </si>
  <si>
    <t>SHIP0150</t>
  </si>
  <si>
    <t>SHIP0174</t>
  </si>
  <si>
    <t>SHIP0448</t>
  </si>
  <si>
    <t>SHIP0400</t>
  </si>
  <si>
    <t>SHIP0492</t>
  </si>
  <si>
    <t>SHIP0243</t>
  </si>
  <si>
    <t>SHIP0267</t>
  </si>
  <si>
    <t>SHIP0159</t>
  </si>
  <si>
    <t>SHIP0309</t>
  </si>
  <si>
    <t>SHIP0369</t>
  </si>
  <si>
    <t>SHIP0014</t>
  </si>
  <si>
    <t>SHIP0209</t>
  </si>
  <si>
    <t>SHIP0318</t>
  </si>
  <si>
    <t>SHIP0468</t>
  </si>
  <si>
    <t>SHIP0011</t>
  </si>
  <si>
    <t>SHIP0239</t>
  </si>
  <si>
    <t>SHIP0330</t>
  </si>
  <si>
    <t>SHIP0033</t>
  </si>
  <si>
    <t>SHIP0207</t>
  </si>
  <si>
    <t>SHIP0321</t>
  </si>
  <si>
    <t>SHIP0391</t>
  </si>
  <si>
    <t>SHIP0085</t>
  </si>
  <si>
    <t>SHIP0262</t>
  </si>
  <si>
    <t>SHIP0342</t>
  </si>
  <si>
    <t>SHIP0385</t>
  </si>
  <si>
    <t>SHIP0122</t>
  </si>
  <si>
    <t>SHIP0019</t>
  </si>
  <si>
    <t>SHIP0265</t>
  </si>
  <si>
    <t>SHIP0191</t>
  </si>
  <si>
    <t>SHIP0075</t>
  </si>
  <si>
    <t>SHIP0249</t>
  </si>
  <si>
    <t>SHIP0307</t>
  </si>
  <si>
    <t>SHIP0054</t>
  </si>
  <si>
    <t>SHIP0193</t>
  </si>
  <si>
    <t>SHIP0279</t>
  </si>
  <si>
    <t>SHIP0382</t>
  </si>
  <si>
    <t>SHIP0040</t>
  </si>
  <si>
    <t>SHIP0155</t>
  </si>
  <si>
    <t>SHIP0043</t>
  </si>
  <si>
    <t>SHIP0096</t>
  </si>
  <si>
    <t>SHIP0444</t>
  </si>
  <si>
    <t>SHIP0473</t>
  </si>
  <si>
    <t>SHIP0180</t>
  </si>
  <si>
    <t>SHIP0200</t>
  </si>
  <si>
    <t>SHIP0417</t>
  </si>
  <si>
    <t>SHIP0466</t>
  </si>
  <si>
    <t>SHIP0151</t>
  </si>
  <si>
    <t>SHIP0248</t>
  </si>
  <si>
    <t>SHIP0090</t>
  </si>
  <si>
    <t>SHIP0365</t>
  </si>
  <si>
    <t>SHIP0273</t>
  </si>
  <si>
    <t>SHIP0429</t>
  </si>
  <si>
    <t>SHIP0101</t>
  </si>
  <si>
    <t>SHIP0118</t>
  </si>
  <si>
    <t>SHIP0212</t>
  </si>
  <si>
    <t>SHIP0433</t>
  </si>
  <si>
    <t>SHIP0431</t>
  </si>
  <si>
    <t>SHIP0173</t>
  </si>
  <si>
    <t>SHIP0283</t>
  </si>
  <si>
    <t>SHIP0145</t>
  </si>
  <si>
    <t>SHIP0012</t>
  </si>
  <si>
    <t>SHIP0163</t>
  </si>
  <si>
    <t>SHIP0196</t>
  </si>
  <si>
    <t>SHIP0224</t>
  </si>
  <si>
    <t>SHIP0499</t>
  </si>
  <si>
    <t>SHIP0333</t>
  </si>
  <si>
    <t>SHIP0059</t>
  </si>
  <si>
    <t>SHIP0106</t>
  </si>
  <si>
    <t>SHIP0187</t>
  </si>
  <si>
    <t>SHIP0320</t>
  </si>
  <si>
    <t>SHIP0460</t>
  </si>
  <si>
    <t>SHIP0291</t>
  </si>
  <si>
    <t>SHIP0084</t>
  </si>
  <si>
    <t>SHIP0350</t>
  </si>
  <si>
    <t>SHIP0034</t>
  </si>
  <si>
    <t>SHIP0078</t>
  </si>
  <si>
    <t>SHIP0357</t>
  </si>
  <si>
    <t>SHIP0297</t>
  </si>
  <si>
    <t>SHIP0355</t>
  </si>
  <si>
    <t>SHIP0087</t>
  </si>
  <si>
    <t>SHIP0203</t>
  </si>
  <si>
    <t>SHIP0362</t>
  </si>
  <si>
    <t>SHIP0041</t>
  </si>
  <si>
    <t>SHIP0251</t>
  </si>
  <si>
    <t>SHIP0005</t>
  </si>
  <si>
    <t>SHIP0222</t>
  </si>
  <si>
    <t>SHIP0457</t>
  </si>
  <si>
    <t>SHIP0202</t>
  </si>
  <si>
    <t>SHIP0374</t>
  </si>
  <si>
    <t>SHIP0029</t>
  </si>
  <si>
    <t>SHIP0399</t>
  </si>
  <si>
    <t>SHIP0455</t>
  </si>
  <si>
    <t>SHIP0188</t>
  </si>
  <si>
    <t>SHIP0071</t>
  </si>
  <si>
    <t>SHIP0211</t>
  </si>
  <si>
    <t>SHIP0137</t>
  </si>
  <si>
    <t>SHIP0403</t>
  </si>
  <si>
    <t>SHIP0216</t>
  </si>
  <si>
    <t>SHIP0353</t>
  </si>
  <si>
    <t>SHIP0099</t>
  </si>
  <si>
    <t>SHIP0013</t>
  </si>
  <si>
    <t>SHIP0104</t>
  </si>
  <si>
    <t>SHIP0456</t>
  </si>
  <si>
    <t>SHIP0169</t>
  </si>
  <si>
    <t>SHIP0023</t>
  </si>
  <si>
    <t>SHIP0170</t>
  </si>
  <si>
    <t>SHIP0422</t>
  </si>
  <si>
    <t>SHIP0182</t>
  </si>
  <si>
    <t>SHIP0406</t>
  </si>
  <si>
    <t>SHIP0442</t>
  </si>
  <si>
    <t>SHIP0404</t>
  </si>
  <si>
    <t>SHIP0131</t>
  </si>
  <si>
    <t>SHIP0158</t>
  </si>
  <si>
    <t>SHIP0129</t>
  </si>
  <si>
    <t>SHIP0025</t>
  </si>
  <si>
    <t>SHIP0181</t>
  </si>
  <si>
    <t>SHIP0486</t>
  </si>
  <si>
    <t>SHIP0010</t>
  </si>
  <si>
    <t>SHIP0032</t>
  </si>
  <si>
    <t>SHIP0067</t>
  </si>
  <si>
    <t>SHIP0295</t>
  </si>
  <si>
    <t>SHIP0233</t>
  </si>
  <si>
    <t>SHIP0416</t>
  </si>
  <si>
    <t>SHIP0132</t>
  </si>
  <si>
    <t>SHIP0436</t>
  </si>
  <si>
    <t>SHIP0443</t>
  </si>
  <si>
    <t>SHIP0498</t>
  </si>
  <si>
    <t>SHIP0426</t>
  </si>
  <si>
    <t>SHIP0360</t>
  </si>
  <si>
    <t>SHIP0164</t>
  </si>
  <si>
    <t>SHIP0261</t>
  </si>
  <si>
    <t>SHIP0401</t>
  </si>
  <si>
    <t>SHIP0007</t>
  </si>
  <si>
    <t>SHIP0094</t>
  </si>
  <si>
    <t>SHIP0263</t>
  </si>
  <si>
    <t>SHIP0421</t>
  </si>
  <si>
    <t>SHIP0149</t>
  </si>
  <si>
    <t>SHIP0102</t>
  </si>
  <si>
    <t>SHIP0050</t>
  </si>
  <si>
    <t>SHIP0245</t>
  </si>
  <si>
    <t>SHIP0051</t>
  </si>
  <si>
    <t>SHIP0310</t>
  </si>
  <si>
    <t>SHIP0244</t>
  </si>
  <si>
    <t>SHIP0349</t>
  </si>
  <si>
    <t>SHIP0126</t>
  </si>
  <si>
    <t>SHIP0298</t>
  </si>
  <si>
    <t>SHIP0440</t>
  </si>
  <si>
    <t>SHIP0227</t>
  </si>
  <si>
    <t>SHIP0135</t>
  </si>
  <si>
    <t>SHIP0228</t>
  </si>
  <si>
    <t>SHIP0384</t>
  </si>
  <si>
    <t>SHIP0438</t>
  </si>
  <si>
    <t>SHIP0346</t>
  </si>
  <si>
    <t>SHIP0195</t>
  </si>
  <si>
    <t>SHIP0463</t>
  </si>
  <si>
    <t>SHIP0184</t>
  </si>
  <si>
    <t>SHIP0397</t>
  </si>
  <si>
    <t>SHIP0446</t>
  </si>
  <si>
    <t>SHIP0293</t>
  </si>
  <si>
    <t>SHIP0194</t>
  </si>
  <si>
    <t>SHIP0306</t>
  </si>
  <si>
    <t>SHIP0176</t>
  </si>
  <si>
    <t>SHIP0175</t>
  </si>
  <si>
    <t>SHIP0334</t>
  </si>
  <si>
    <t>SHIP0028</t>
  </si>
  <si>
    <t>SHIP0376</t>
  </si>
  <si>
    <t>SHIP0060</t>
  </si>
  <si>
    <t>SHIP0179</t>
  </si>
  <si>
    <t>SHIP0405</t>
  </si>
  <si>
    <t>Row Labels</t>
  </si>
  <si>
    <t>Grand Total</t>
  </si>
  <si>
    <t>Quantity</t>
  </si>
  <si>
    <t>Month</t>
  </si>
  <si>
    <t>Forecast(Quantity)</t>
  </si>
  <si>
    <t>Lower Bound</t>
  </si>
  <si>
    <t>Upper Bound</t>
  </si>
  <si>
    <t>2025 Shipment Volume  Forecast Analysis</t>
  </si>
  <si>
    <t>Metric</t>
  </si>
  <si>
    <t>Value</t>
  </si>
  <si>
    <t>1,403 units</t>
  </si>
  <si>
    <t>Peak Month</t>
  </si>
  <si>
    <t>Lowest Month</t>
  </si>
  <si>
    <t>Average Monthly Shipments</t>
  </si>
  <si>
    <t>Growth Trend</t>
  </si>
  <si>
    <t>Increasing</t>
  </si>
  <si>
    <t>Forecast Accuracy</t>
  </si>
  <si>
    <t>Moderate (wide confidence range)</t>
  </si>
  <si>
    <t>(9)September (2,087 units)</t>
  </si>
  <si>
    <t>(2)February (561 units)</t>
  </si>
  <si>
    <t>day</t>
  </si>
  <si>
    <t xml:space="preserve"> reorder_level</t>
  </si>
  <si>
    <t>Sum_stock</t>
  </si>
  <si>
    <t>stock_status</t>
  </si>
  <si>
    <t>Sum of stock</t>
  </si>
  <si>
    <t>Sum of price</t>
  </si>
  <si>
    <t>Sum of reorder_level</t>
  </si>
  <si>
    <t>Total Income</t>
  </si>
  <si>
    <t>Stock per Item</t>
  </si>
  <si>
    <t>KPIs</t>
  </si>
  <si>
    <t>Qty</t>
  </si>
  <si>
    <t>Availabe Stock</t>
  </si>
  <si>
    <t>Limit stock</t>
  </si>
  <si>
    <t>Supplier Revenue</t>
  </si>
  <si>
    <t>Inventory Dynamic Analysis</t>
  </si>
  <si>
    <t>Total Supplier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</si>
</sst>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1"/>
      <color theme="1"/>
      <name val="Calibri"/>
      <family val="2"/>
      <scheme val="minor"/>
    </font>
    <font>
      <b/>
      <sz val="11"/>
      <color theme="1"/>
      <name val="Calibri"/>
      <family val="2"/>
      <scheme val="minor"/>
    </font>
    <font>
      <b/>
      <sz val="24"/>
      <color theme="4" tint="-0.249977111117893"/>
      <name val="Calibri"/>
      <family val="2"/>
      <scheme val="minor"/>
    </font>
    <font>
      <sz val="8"/>
      <name val="Calibri"/>
      <family val="2"/>
      <scheme val="minor"/>
    </font>
    <font>
      <b/>
      <sz val="11"/>
      <color theme="1" tint="4.9989318521683403E-2"/>
      <name val="Calibri"/>
      <family val="2"/>
      <scheme val="minor"/>
    </font>
    <font>
      <b/>
      <sz val="20"/>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 fillId="0" borderId="0" xfId="0" applyFont="1"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1" fontId="0" fillId="0" borderId="0" xfId="0" applyNumberFormat="1" applyAlignment="1">
      <alignment horizontal="center"/>
    </xf>
    <xf numFmtId="164" fontId="0" fillId="0" borderId="0" xfId="0" applyNumberFormat="1"/>
    <xf numFmtId="0" fontId="1" fillId="2" borderId="0" xfId="0" applyFont="1" applyFill="1"/>
    <xf numFmtId="0" fontId="4" fillId="0" borderId="0" xfId="0" applyFont="1"/>
    <xf numFmtId="0" fontId="0" fillId="0" borderId="0" xfId="0" applyAlignment="1">
      <alignment horizontal="center"/>
    </xf>
    <xf numFmtId="0" fontId="5" fillId="3" borderId="0" xfId="0" applyFont="1" applyFill="1" applyAlignment="1">
      <alignment horizontal="center"/>
    </xf>
  </cellXfs>
  <cellStyles count="1">
    <cellStyle name="Normal" xfId="0" builtinId="0"/>
  </cellStyles>
  <dxfs count="2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 formatCode="0"/>
    </dxf>
    <dxf>
      <numFmt numFmtId="1" formatCode="0"/>
    </dxf>
    <dxf>
      <numFmt numFmtId="164" formatCode="&quot;₱&quot;#,##0"/>
    </dxf>
    <dxf>
      <numFmt numFmtId="164" formatCode="&quot;₱&quot;#,##0"/>
    </dxf>
    <dxf>
      <numFmt numFmtId="164" formatCode="&quot;₱&quot;#,##0"/>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[supply_chain.xlsx]Prep4Dashboard!PivotTable2</c:name>
    <c:fmtId val="1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Prep4Dashboard!$B$3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Prep4Dashboard!$A$4:$A$24</c:f>
              <c:strCache>
                <c:ptCount val="20"/>
                <c:pt idx="0">
                  <c:v>Air Conditioner</c:v>
                </c:pt>
                <c:pt idx="1">
                  <c:v>Blender</c:v>
                </c:pt>
                <c:pt idx="2">
                  <c:v>Clothes Dryer</c:v>
                </c:pt>
                <c:pt idx="3">
                  <c:v>Coffee Maker</c:v>
                </c:pt>
                <c:pt idx="4">
                  <c:v>Dehumidifier</c:v>
                </c:pt>
                <c:pt idx="5">
                  <c:v>Dishwasher</c:v>
                </c:pt>
                <c:pt idx="6">
                  <c:v>Electricfan</c:v>
                </c:pt>
                <c:pt idx="7">
                  <c:v>Fan Heater</c:v>
                </c:pt>
                <c:pt idx="8">
                  <c:v>Food Processor</c:v>
                </c:pt>
                <c:pt idx="9">
                  <c:v>Iron</c:v>
                </c:pt>
                <c:pt idx="10">
                  <c:v>Juicer</c:v>
                </c:pt>
                <c:pt idx="11">
                  <c:v>LED TV</c:v>
                </c:pt>
                <c:pt idx="12">
                  <c:v>Microwave</c:v>
                </c:pt>
                <c:pt idx="13">
                  <c:v>Mixer</c:v>
                </c:pt>
                <c:pt idx="14">
                  <c:v>Refrigerator</c:v>
                </c:pt>
                <c:pt idx="15">
                  <c:v>Rice Cooker</c:v>
                </c:pt>
                <c:pt idx="16">
                  <c:v>Toaster</c:v>
                </c:pt>
                <c:pt idx="17">
                  <c:v>Vacuum Cleaner</c:v>
                </c:pt>
                <c:pt idx="18">
                  <c:v>Washing Machine</c:v>
                </c:pt>
                <c:pt idx="19">
                  <c:v>Water Heater</c:v>
                </c:pt>
              </c:strCache>
            </c:strRef>
          </c:cat>
          <c:val>
            <c:numRef>
              <c:f>Prep4Dashboard!$B$4:$B$24</c:f>
              <c:numCache>
                <c:formatCode>General</c:formatCode>
                <c:ptCount val="20"/>
                <c:pt idx="0">
                  <c:v>305</c:v>
                </c:pt>
                <c:pt idx="1">
                  <c:v>209</c:v>
                </c:pt>
                <c:pt idx="2">
                  <c:v>417</c:v>
                </c:pt>
                <c:pt idx="3">
                  <c:v>499</c:v>
                </c:pt>
                <c:pt idx="4">
                  <c:v>216</c:v>
                </c:pt>
                <c:pt idx="5">
                  <c:v>302</c:v>
                </c:pt>
                <c:pt idx="6">
                  <c:v>147</c:v>
                </c:pt>
                <c:pt idx="7">
                  <c:v>442</c:v>
                </c:pt>
                <c:pt idx="8">
                  <c:v>394</c:v>
                </c:pt>
                <c:pt idx="9">
                  <c:v>298</c:v>
                </c:pt>
                <c:pt idx="10">
                  <c:v>343</c:v>
                </c:pt>
                <c:pt idx="11">
                  <c:v>449</c:v>
                </c:pt>
                <c:pt idx="12">
                  <c:v>638</c:v>
                </c:pt>
                <c:pt idx="13">
                  <c:v>460</c:v>
                </c:pt>
                <c:pt idx="14">
                  <c:v>339</c:v>
                </c:pt>
                <c:pt idx="15">
                  <c:v>389</c:v>
                </c:pt>
                <c:pt idx="16">
                  <c:v>586</c:v>
                </c:pt>
                <c:pt idx="17">
                  <c:v>463</c:v>
                </c:pt>
                <c:pt idx="18">
                  <c:v>284</c:v>
                </c:pt>
                <c:pt idx="19">
                  <c:v>51</c:v>
                </c:pt>
              </c:numCache>
            </c:numRef>
          </c:val>
          <c:extLst>
            <c:ext xmlns:c16="http://schemas.microsoft.com/office/drawing/2014/chart" uri="{C3380CC4-5D6E-409C-BE32-E72D297353CC}">
              <c16:uniqueId val="{00000000-C1CA-466F-95B0-EE6A0EBC406D}"/>
            </c:ext>
          </c:extLst>
        </c:ser>
        <c:dLbls>
          <c:showLegendKey val="0"/>
          <c:showVal val="0"/>
          <c:showCatName val="0"/>
          <c:showSerName val="0"/>
          <c:showPercent val="0"/>
          <c:showBubbleSize val="0"/>
        </c:dLbls>
        <c:gapWidth val="100"/>
        <c:overlap val="-24"/>
        <c:axId val="1045277088"/>
        <c:axId val="1045277920"/>
      </c:barChart>
      <c:catAx>
        <c:axId val="1045277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77920"/>
        <c:crosses val="autoZero"/>
        <c:auto val="1"/>
        <c:lblAlgn val="ctr"/>
        <c:lblOffset val="100"/>
        <c:noMultiLvlLbl val="0"/>
      </c:catAx>
      <c:valAx>
        <c:axId val="104527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7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[supply_chain.xlsx]Prep4Dashboard!PivotTable5</c:name>
    <c:fmtId val="7"/>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Prep4Dashboard!$B$49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Prep4Dashboard!$A$50:$A$70</c:f>
              <c:strCache>
                <c:ptCount val="20"/>
                <c:pt idx="0">
                  <c:v>Air Conditioner</c:v>
                </c:pt>
                <c:pt idx="1">
                  <c:v>Blender</c:v>
                </c:pt>
                <c:pt idx="2">
                  <c:v>Clothes Dryer</c:v>
                </c:pt>
                <c:pt idx="3">
                  <c:v>Coffee Maker</c:v>
                </c:pt>
                <c:pt idx="4">
                  <c:v>Dehumidifier</c:v>
                </c:pt>
                <c:pt idx="5">
                  <c:v>Dishwasher</c:v>
                </c:pt>
                <c:pt idx="6">
                  <c:v>Electricfan</c:v>
                </c:pt>
                <c:pt idx="7">
                  <c:v>Fan Heater</c:v>
                </c:pt>
                <c:pt idx="8">
                  <c:v>Food Processor</c:v>
                </c:pt>
                <c:pt idx="9">
                  <c:v>Iron</c:v>
                </c:pt>
                <c:pt idx="10">
                  <c:v>Juicer</c:v>
                </c:pt>
                <c:pt idx="11">
                  <c:v>LED TV</c:v>
                </c:pt>
                <c:pt idx="12">
                  <c:v>Microwave</c:v>
                </c:pt>
                <c:pt idx="13">
                  <c:v>Mixer</c:v>
                </c:pt>
                <c:pt idx="14">
                  <c:v>Refrigerator</c:v>
                </c:pt>
                <c:pt idx="15">
                  <c:v>Rice Cooker</c:v>
                </c:pt>
                <c:pt idx="16">
                  <c:v>Toaster</c:v>
                </c:pt>
                <c:pt idx="17">
                  <c:v>Vacuum Cleaner</c:v>
                </c:pt>
                <c:pt idx="18">
                  <c:v>Washing Machine</c:v>
                </c:pt>
                <c:pt idx="19">
                  <c:v>Water Heater</c:v>
                </c:pt>
              </c:strCache>
            </c:strRef>
          </c:cat>
          <c:val>
            <c:numRef>
              <c:f>Prep4Dashboard!$B$50:$B$70</c:f>
              <c:numCache>
                <c:formatCode>"₱"#,##0</c:formatCode>
                <c:ptCount val="20"/>
                <c:pt idx="0">
                  <c:v>32940000</c:v>
                </c:pt>
                <c:pt idx="1">
                  <c:v>1170400</c:v>
                </c:pt>
                <c:pt idx="2">
                  <c:v>22518000</c:v>
                </c:pt>
                <c:pt idx="3">
                  <c:v>11227500</c:v>
                </c:pt>
                <c:pt idx="4">
                  <c:v>4752000</c:v>
                </c:pt>
                <c:pt idx="5">
                  <c:v>12080000</c:v>
                </c:pt>
                <c:pt idx="6">
                  <c:v>441000</c:v>
                </c:pt>
                <c:pt idx="7">
                  <c:v>7956000</c:v>
                </c:pt>
                <c:pt idx="8">
                  <c:v>10638000</c:v>
                </c:pt>
                <c:pt idx="9">
                  <c:v>1490000</c:v>
                </c:pt>
                <c:pt idx="10">
                  <c:v>4116000</c:v>
                </c:pt>
                <c:pt idx="11">
                  <c:v>46471500</c:v>
                </c:pt>
                <c:pt idx="12">
                  <c:v>14036000</c:v>
                </c:pt>
                <c:pt idx="13">
                  <c:v>3864000</c:v>
                </c:pt>
                <c:pt idx="14">
                  <c:v>35595000</c:v>
                </c:pt>
                <c:pt idx="15">
                  <c:v>2917500</c:v>
                </c:pt>
                <c:pt idx="16">
                  <c:v>4219200</c:v>
                </c:pt>
                <c:pt idx="17">
                  <c:v>12964000</c:v>
                </c:pt>
                <c:pt idx="18">
                  <c:v>17040000</c:v>
                </c:pt>
                <c:pt idx="19">
                  <c:v>229500</c:v>
                </c:pt>
              </c:numCache>
            </c:numRef>
          </c:val>
          <c:smooth val="0"/>
          <c:extLst>
            <c:ext xmlns:c16="http://schemas.microsoft.com/office/drawing/2014/chart" uri="{C3380CC4-5D6E-409C-BE32-E72D297353CC}">
              <c16:uniqueId val="{00000000-5005-4EA6-86F4-BE6AB69088EC}"/>
            </c:ext>
          </c:extLst>
        </c:ser>
        <c:dLbls>
          <c:showLegendKey val="0"/>
          <c:showVal val="0"/>
          <c:showCatName val="0"/>
          <c:showSerName val="0"/>
          <c:showPercent val="0"/>
          <c:showBubbleSize val="0"/>
        </c:dLbls>
        <c:marker val="1"/>
        <c:smooth val="0"/>
        <c:axId val="493897104"/>
        <c:axId val="493896688"/>
      </c:lineChart>
      <c:catAx>
        <c:axId val="493897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96688"/>
        <c:crosses val="autoZero"/>
        <c:auto val="1"/>
        <c:lblAlgn val="ctr"/>
        <c:lblOffset val="100"/>
        <c:noMultiLvlLbl val="0"/>
      </c:catAx>
      <c:valAx>
        <c:axId val="493896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9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592027559055111"/>
              <c:y val="0.208467428413553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890611329833771"/>
                  <c:h val="0.1552380952380952"/>
                </c:manualLayout>
              </c15:layout>
            </c:ext>
          </c:extLst>
        </c:dLbl>
      </c:pivotFmt>
      <c:pivotFmt>
        <c:idx val="2"/>
        <c:spPr>
          <a:solidFill>
            <a:schemeClr val="accent1"/>
          </a:solidFill>
          <a:ln w="19050">
            <a:solidFill>
              <a:schemeClr val="lt1"/>
            </a:solidFill>
          </a:ln>
          <a:effectLst/>
        </c:spPr>
        <c:dLbl>
          <c:idx val="0"/>
          <c:layout>
            <c:manualLayout>
              <c:x val="-0.18060214064151073"/>
              <c:y val="-0.133250875197402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Prep4Dashboard!$D$14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85-4904-A46C-29845BDBAD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1D-4351-B363-F6BE3E46C2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85-4904-A46C-29845BDBAD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85-4904-A46C-29845BDBAD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461D-4351-B363-F6BE3E46C25E}"/>
              </c:ext>
            </c:extLst>
          </c:dPt>
          <c:dLbls>
            <c:dLbl>
              <c:idx val="1"/>
              <c:layout>
                <c:manualLayout>
                  <c:x val="-0.18060214064151073"/>
                  <c:y val="-0.1332508751974025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61D-4351-B363-F6BE3E46C25E}"/>
                </c:ext>
              </c:extLst>
            </c:dLbl>
            <c:dLbl>
              <c:idx val="4"/>
              <c:layout>
                <c:manualLayout>
                  <c:x val="0.11592027559055111"/>
                  <c:y val="0.208467428413553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890611329833771"/>
                      <c:h val="0.1552380952380952"/>
                    </c:manualLayout>
                  </c15:layout>
                </c:ext>
                <c:ext xmlns:c16="http://schemas.microsoft.com/office/drawing/2014/chart" uri="{C3380CC4-5D6E-409C-BE32-E72D297353CC}">
                  <c16:uniqueId val="{00000002-461D-4351-B363-F6BE3E46C2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Prep4Dashboard!$C$15:$C$20</c:f>
              <c:strCache>
                <c:ptCount val="5"/>
                <c:pt idx="0">
                  <c:v>SUP100</c:v>
                </c:pt>
                <c:pt idx="1">
                  <c:v>SUP101</c:v>
                </c:pt>
                <c:pt idx="2">
                  <c:v>SUP102</c:v>
                </c:pt>
                <c:pt idx="3">
                  <c:v>SUP103</c:v>
                </c:pt>
                <c:pt idx="4">
                  <c:v>SUP104</c:v>
                </c:pt>
              </c:strCache>
            </c:strRef>
          </c:cat>
          <c:val>
            <c:numRef>
              <c:f>Prep4Dashboard!$D$15:$D$20</c:f>
              <c:numCache>
                <c:formatCode>"₱"#,##0</c:formatCode>
                <c:ptCount val="5"/>
                <c:pt idx="0">
                  <c:v>422690000</c:v>
                </c:pt>
                <c:pt idx="1">
                  <c:v>183647700</c:v>
                </c:pt>
                <c:pt idx="2">
                  <c:v>142254400</c:v>
                </c:pt>
                <c:pt idx="3">
                  <c:v>120280000</c:v>
                </c:pt>
                <c:pt idx="4">
                  <c:v>141073900</c:v>
                </c:pt>
              </c:numCache>
            </c:numRef>
          </c:val>
          <c:extLst>
            <c:ext xmlns:c16="http://schemas.microsoft.com/office/drawing/2014/chart" uri="{C3380CC4-5D6E-409C-BE32-E72D297353CC}">
              <c16:uniqueId val="{00000000-461D-4351-B363-F6BE3E46C25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[supply_chain.xlsx]Prep4Dashboard!PivotTable5</c:name>
    <c:fmtId val="5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418031496062995"/>
          <c:y val="0.17309110870945055"/>
          <c:w val="0.72076115485564307"/>
          <c:h val="0.36374393151836415"/>
        </c:manualLayout>
      </c:layout>
      <c:bar3DChart>
        <c:barDir val="col"/>
        <c:grouping val="clustered"/>
        <c:varyColors val="0"/>
        <c:ser>
          <c:idx val="0"/>
          <c:order val="0"/>
          <c:tx>
            <c:strRef>
              <c:f>Prep4Dashboard!$B$49</c:f>
              <c:strCache>
                <c:ptCount val="1"/>
                <c:pt idx="0">
                  <c:v>Total</c:v>
                </c:pt>
              </c:strCache>
            </c:strRef>
          </c:tx>
          <c:spPr>
            <a:solidFill>
              <a:schemeClr val="accent1"/>
            </a:solidFill>
            <a:ln>
              <a:noFill/>
            </a:ln>
            <a:effectLst/>
            <a:sp3d/>
          </c:spPr>
          <c:invertIfNegative val="0"/>
          <c:cat>
            <c:strRef>
              <c:f>Prep4Dashboard!$A$50:$A$70</c:f>
              <c:strCache>
                <c:ptCount val="20"/>
                <c:pt idx="0">
                  <c:v>Air Conditioner</c:v>
                </c:pt>
                <c:pt idx="1">
                  <c:v>Blender</c:v>
                </c:pt>
                <c:pt idx="2">
                  <c:v>Clothes Dryer</c:v>
                </c:pt>
                <c:pt idx="3">
                  <c:v>Coffee Maker</c:v>
                </c:pt>
                <c:pt idx="4">
                  <c:v>Dehumidifier</c:v>
                </c:pt>
                <c:pt idx="5">
                  <c:v>Dishwasher</c:v>
                </c:pt>
                <c:pt idx="6">
                  <c:v>Electricfan</c:v>
                </c:pt>
                <c:pt idx="7">
                  <c:v>Fan Heater</c:v>
                </c:pt>
                <c:pt idx="8">
                  <c:v>Food Processor</c:v>
                </c:pt>
                <c:pt idx="9">
                  <c:v>Iron</c:v>
                </c:pt>
                <c:pt idx="10">
                  <c:v>Juicer</c:v>
                </c:pt>
                <c:pt idx="11">
                  <c:v>LED TV</c:v>
                </c:pt>
                <c:pt idx="12">
                  <c:v>Microwave</c:v>
                </c:pt>
                <c:pt idx="13">
                  <c:v>Mixer</c:v>
                </c:pt>
                <c:pt idx="14">
                  <c:v>Refrigerator</c:v>
                </c:pt>
                <c:pt idx="15">
                  <c:v>Rice Cooker</c:v>
                </c:pt>
                <c:pt idx="16">
                  <c:v>Toaster</c:v>
                </c:pt>
                <c:pt idx="17">
                  <c:v>Vacuum Cleaner</c:v>
                </c:pt>
                <c:pt idx="18">
                  <c:v>Washing Machine</c:v>
                </c:pt>
                <c:pt idx="19">
                  <c:v>Water Heater</c:v>
                </c:pt>
              </c:strCache>
            </c:strRef>
          </c:cat>
          <c:val>
            <c:numRef>
              <c:f>Prep4Dashboard!$B$50:$B$70</c:f>
              <c:numCache>
                <c:formatCode>"₱"#,##0</c:formatCode>
                <c:ptCount val="20"/>
                <c:pt idx="0">
                  <c:v>32940000</c:v>
                </c:pt>
                <c:pt idx="1">
                  <c:v>1170400</c:v>
                </c:pt>
                <c:pt idx="2">
                  <c:v>22518000</c:v>
                </c:pt>
                <c:pt idx="3">
                  <c:v>11227500</c:v>
                </c:pt>
                <c:pt idx="4">
                  <c:v>4752000</c:v>
                </c:pt>
                <c:pt idx="5">
                  <c:v>12080000</c:v>
                </c:pt>
                <c:pt idx="6">
                  <c:v>441000</c:v>
                </c:pt>
                <c:pt idx="7">
                  <c:v>7956000</c:v>
                </c:pt>
                <c:pt idx="8">
                  <c:v>10638000</c:v>
                </c:pt>
                <c:pt idx="9">
                  <c:v>1490000</c:v>
                </c:pt>
                <c:pt idx="10">
                  <c:v>4116000</c:v>
                </c:pt>
                <c:pt idx="11">
                  <c:v>46471500</c:v>
                </c:pt>
                <c:pt idx="12">
                  <c:v>14036000</c:v>
                </c:pt>
                <c:pt idx="13">
                  <c:v>3864000</c:v>
                </c:pt>
                <c:pt idx="14">
                  <c:v>35595000</c:v>
                </c:pt>
                <c:pt idx="15">
                  <c:v>2917500</c:v>
                </c:pt>
                <c:pt idx="16">
                  <c:v>4219200</c:v>
                </c:pt>
                <c:pt idx="17">
                  <c:v>12964000</c:v>
                </c:pt>
                <c:pt idx="18">
                  <c:v>17040000</c:v>
                </c:pt>
                <c:pt idx="19">
                  <c:v>229500</c:v>
                </c:pt>
              </c:numCache>
            </c:numRef>
          </c:val>
          <c:extLst>
            <c:ext xmlns:c16="http://schemas.microsoft.com/office/drawing/2014/chart" uri="{C3380CC4-5D6E-409C-BE32-E72D297353CC}">
              <c16:uniqueId val="{00000000-55F8-4543-BA8D-F84486D3B01D}"/>
            </c:ext>
          </c:extLst>
        </c:ser>
        <c:dLbls>
          <c:showLegendKey val="0"/>
          <c:showVal val="0"/>
          <c:showCatName val="0"/>
          <c:showSerName val="0"/>
          <c:showPercent val="0"/>
          <c:showBubbleSize val="0"/>
        </c:dLbls>
        <c:gapWidth val="150"/>
        <c:shape val="box"/>
        <c:axId val="1091526896"/>
        <c:axId val="1091523152"/>
        <c:axId val="0"/>
      </c:bar3DChart>
      <c:catAx>
        <c:axId val="1091526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23152"/>
        <c:crosses val="autoZero"/>
        <c:auto val="1"/>
        <c:lblAlgn val="ctr"/>
        <c:lblOffset val="100"/>
        <c:noMultiLvlLbl val="0"/>
      </c:catAx>
      <c:valAx>
        <c:axId val="109152315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2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[supply_chain.xlsx]Prep4Dashboard!PivotTable2</c:name>
    <c:fmtId val="1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3560129527072"/>
          <c:y val="0.12624376178329819"/>
          <c:w val="0.87557589962900362"/>
          <c:h val="0.41293613008647662"/>
        </c:manualLayout>
      </c:layout>
      <c:barChart>
        <c:barDir val="col"/>
        <c:grouping val="clustered"/>
        <c:varyColors val="0"/>
        <c:ser>
          <c:idx val="0"/>
          <c:order val="0"/>
          <c:tx>
            <c:strRef>
              <c:f>Prep4Dashboard!$B$3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Prep4Dashboard!$A$4:$A$24</c:f>
              <c:strCache>
                <c:ptCount val="20"/>
                <c:pt idx="0">
                  <c:v>Air Conditioner</c:v>
                </c:pt>
                <c:pt idx="1">
                  <c:v>Blender</c:v>
                </c:pt>
                <c:pt idx="2">
                  <c:v>Clothes Dryer</c:v>
                </c:pt>
                <c:pt idx="3">
                  <c:v>Coffee Maker</c:v>
                </c:pt>
                <c:pt idx="4">
                  <c:v>Dehumidifier</c:v>
                </c:pt>
                <c:pt idx="5">
                  <c:v>Dishwasher</c:v>
                </c:pt>
                <c:pt idx="6">
                  <c:v>Electricfan</c:v>
                </c:pt>
                <c:pt idx="7">
                  <c:v>Fan Heater</c:v>
                </c:pt>
                <c:pt idx="8">
                  <c:v>Food Processor</c:v>
                </c:pt>
                <c:pt idx="9">
                  <c:v>Iron</c:v>
                </c:pt>
                <c:pt idx="10">
                  <c:v>Juicer</c:v>
                </c:pt>
                <c:pt idx="11">
                  <c:v>LED TV</c:v>
                </c:pt>
                <c:pt idx="12">
                  <c:v>Microwave</c:v>
                </c:pt>
                <c:pt idx="13">
                  <c:v>Mixer</c:v>
                </c:pt>
                <c:pt idx="14">
                  <c:v>Refrigerator</c:v>
                </c:pt>
                <c:pt idx="15">
                  <c:v>Rice Cooker</c:v>
                </c:pt>
                <c:pt idx="16">
                  <c:v>Toaster</c:v>
                </c:pt>
                <c:pt idx="17">
                  <c:v>Vacuum Cleaner</c:v>
                </c:pt>
                <c:pt idx="18">
                  <c:v>Washing Machine</c:v>
                </c:pt>
                <c:pt idx="19">
                  <c:v>Water Heater</c:v>
                </c:pt>
              </c:strCache>
            </c:strRef>
          </c:cat>
          <c:val>
            <c:numRef>
              <c:f>Prep4Dashboard!$B$4:$B$24</c:f>
              <c:numCache>
                <c:formatCode>General</c:formatCode>
                <c:ptCount val="20"/>
                <c:pt idx="0">
                  <c:v>305</c:v>
                </c:pt>
                <c:pt idx="1">
                  <c:v>209</c:v>
                </c:pt>
                <c:pt idx="2">
                  <c:v>417</c:v>
                </c:pt>
                <c:pt idx="3">
                  <c:v>499</c:v>
                </c:pt>
                <c:pt idx="4">
                  <c:v>216</c:v>
                </c:pt>
                <c:pt idx="5">
                  <c:v>302</c:v>
                </c:pt>
                <c:pt idx="6">
                  <c:v>147</c:v>
                </c:pt>
                <c:pt idx="7">
                  <c:v>442</c:v>
                </c:pt>
                <c:pt idx="8">
                  <c:v>394</c:v>
                </c:pt>
                <c:pt idx="9">
                  <c:v>298</c:v>
                </c:pt>
                <c:pt idx="10">
                  <c:v>343</c:v>
                </c:pt>
                <c:pt idx="11">
                  <c:v>449</c:v>
                </c:pt>
                <c:pt idx="12">
                  <c:v>638</c:v>
                </c:pt>
                <c:pt idx="13">
                  <c:v>460</c:v>
                </c:pt>
                <c:pt idx="14">
                  <c:v>339</c:v>
                </c:pt>
                <c:pt idx="15">
                  <c:v>389</c:v>
                </c:pt>
                <c:pt idx="16">
                  <c:v>586</c:v>
                </c:pt>
                <c:pt idx="17">
                  <c:v>463</c:v>
                </c:pt>
                <c:pt idx="18">
                  <c:v>284</c:v>
                </c:pt>
                <c:pt idx="19">
                  <c:v>51</c:v>
                </c:pt>
              </c:numCache>
            </c:numRef>
          </c:val>
          <c:extLst>
            <c:ext xmlns:c16="http://schemas.microsoft.com/office/drawing/2014/chart" uri="{C3380CC4-5D6E-409C-BE32-E72D297353CC}">
              <c16:uniqueId val="{00000000-C41E-42C3-86C9-E6FC610EA307}"/>
            </c:ext>
          </c:extLst>
        </c:ser>
        <c:dLbls>
          <c:showLegendKey val="0"/>
          <c:showVal val="0"/>
          <c:showCatName val="0"/>
          <c:showSerName val="0"/>
          <c:showPercent val="0"/>
          <c:showBubbleSize val="0"/>
        </c:dLbls>
        <c:gapWidth val="100"/>
        <c:overlap val="-24"/>
        <c:axId val="1045277088"/>
        <c:axId val="1045277920"/>
      </c:barChart>
      <c:catAx>
        <c:axId val="1045277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77920"/>
        <c:crosses val="autoZero"/>
        <c:auto val="1"/>
        <c:lblAlgn val="ctr"/>
        <c:lblOffset val="100"/>
        <c:noMultiLvlLbl val="0"/>
      </c:catAx>
      <c:valAx>
        <c:axId val="1045277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7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[supply_chain.xlsx]Prep4Dashboard!PivotTable5</c:name>
    <c:fmtId val="5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98505030918433"/>
          <c:y val="0.16742915118687424"/>
          <c:w val="0.78976242945947084"/>
          <c:h val="0.36550097600501386"/>
        </c:manualLayout>
      </c:layout>
      <c:lineChart>
        <c:grouping val="standard"/>
        <c:varyColors val="0"/>
        <c:ser>
          <c:idx val="0"/>
          <c:order val="0"/>
          <c:tx>
            <c:strRef>
              <c:f>Prep4Dashboard!$B$49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Prep4Dashboard!$A$50:$A$70</c:f>
              <c:strCache>
                <c:ptCount val="20"/>
                <c:pt idx="0">
                  <c:v>Air Conditioner</c:v>
                </c:pt>
                <c:pt idx="1">
                  <c:v>Blender</c:v>
                </c:pt>
                <c:pt idx="2">
                  <c:v>Clothes Dryer</c:v>
                </c:pt>
                <c:pt idx="3">
                  <c:v>Coffee Maker</c:v>
                </c:pt>
                <c:pt idx="4">
                  <c:v>Dehumidifier</c:v>
                </c:pt>
                <c:pt idx="5">
                  <c:v>Dishwasher</c:v>
                </c:pt>
                <c:pt idx="6">
                  <c:v>Electricfan</c:v>
                </c:pt>
                <c:pt idx="7">
                  <c:v>Fan Heater</c:v>
                </c:pt>
                <c:pt idx="8">
                  <c:v>Food Processor</c:v>
                </c:pt>
                <c:pt idx="9">
                  <c:v>Iron</c:v>
                </c:pt>
                <c:pt idx="10">
                  <c:v>Juicer</c:v>
                </c:pt>
                <c:pt idx="11">
                  <c:v>LED TV</c:v>
                </c:pt>
                <c:pt idx="12">
                  <c:v>Microwave</c:v>
                </c:pt>
                <c:pt idx="13">
                  <c:v>Mixer</c:v>
                </c:pt>
                <c:pt idx="14">
                  <c:v>Refrigerator</c:v>
                </c:pt>
                <c:pt idx="15">
                  <c:v>Rice Cooker</c:v>
                </c:pt>
                <c:pt idx="16">
                  <c:v>Toaster</c:v>
                </c:pt>
                <c:pt idx="17">
                  <c:v>Vacuum Cleaner</c:v>
                </c:pt>
                <c:pt idx="18">
                  <c:v>Washing Machine</c:v>
                </c:pt>
                <c:pt idx="19">
                  <c:v>Water Heater</c:v>
                </c:pt>
              </c:strCache>
            </c:strRef>
          </c:cat>
          <c:val>
            <c:numRef>
              <c:f>Prep4Dashboard!$B$50:$B$70</c:f>
              <c:numCache>
                <c:formatCode>"₱"#,##0</c:formatCode>
                <c:ptCount val="20"/>
                <c:pt idx="0">
                  <c:v>32940000</c:v>
                </c:pt>
                <c:pt idx="1">
                  <c:v>1170400</c:v>
                </c:pt>
                <c:pt idx="2">
                  <c:v>22518000</c:v>
                </c:pt>
                <c:pt idx="3">
                  <c:v>11227500</c:v>
                </c:pt>
                <c:pt idx="4">
                  <c:v>4752000</c:v>
                </c:pt>
                <c:pt idx="5">
                  <c:v>12080000</c:v>
                </c:pt>
                <c:pt idx="6">
                  <c:v>441000</c:v>
                </c:pt>
                <c:pt idx="7">
                  <c:v>7956000</c:v>
                </c:pt>
                <c:pt idx="8">
                  <c:v>10638000</c:v>
                </c:pt>
                <c:pt idx="9">
                  <c:v>1490000</c:v>
                </c:pt>
                <c:pt idx="10">
                  <c:v>4116000</c:v>
                </c:pt>
                <c:pt idx="11">
                  <c:v>46471500</c:v>
                </c:pt>
                <c:pt idx="12">
                  <c:v>14036000</c:v>
                </c:pt>
                <c:pt idx="13">
                  <c:v>3864000</c:v>
                </c:pt>
                <c:pt idx="14">
                  <c:v>35595000</c:v>
                </c:pt>
                <c:pt idx="15">
                  <c:v>2917500</c:v>
                </c:pt>
                <c:pt idx="16">
                  <c:v>4219200</c:v>
                </c:pt>
                <c:pt idx="17">
                  <c:v>12964000</c:v>
                </c:pt>
                <c:pt idx="18">
                  <c:v>17040000</c:v>
                </c:pt>
                <c:pt idx="19">
                  <c:v>229500</c:v>
                </c:pt>
              </c:numCache>
            </c:numRef>
          </c:val>
          <c:smooth val="0"/>
          <c:extLst>
            <c:ext xmlns:c16="http://schemas.microsoft.com/office/drawing/2014/chart" uri="{C3380CC4-5D6E-409C-BE32-E72D297353CC}">
              <c16:uniqueId val="{00000000-815C-4B03-9574-B1937DBC2E92}"/>
            </c:ext>
          </c:extLst>
        </c:ser>
        <c:dLbls>
          <c:showLegendKey val="0"/>
          <c:showVal val="0"/>
          <c:showCatName val="0"/>
          <c:showSerName val="0"/>
          <c:showPercent val="0"/>
          <c:showBubbleSize val="0"/>
        </c:dLbls>
        <c:marker val="1"/>
        <c:smooth val="0"/>
        <c:axId val="493897104"/>
        <c:axId val="493896688"/>
      </c:lineChart>
      <c:catAx>
        <c:axId val="493897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96688"/>
        <c:crosses val="autoZero"/>
        <c:auto val="1"/>
        <c:lblAlgn val="ctr"/>
        <c:lblOffset val="100"/>
        <c:noMultiLvlLbl val="0"/>
      </c:catAx>
      <c:valAx>
        <c:axId val="49389668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9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1592027559055111"/>
              <c:y val="0.208467428413553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890611329833771"/>
                  <c:h val="0.1552380952380952"/>
                </c:manualLayout>
              </c15:layout>
            </c:ext>
          </c:extLst>
        </c:dLbl>
      </c:pivotFmt>
      <c:pivotFmt>
        <c:idx val="2"/>
        <c:spPr>
          <a:solidFill>
            <a:schemeClr val="accent2"/>
          </a:solidFill>
          <a:ln w="19050">
            <a:solidFill>
              <a:schemeClr val="lt1"/>
            </a:solidFill>
          </a:ln>
          <a:effectLst/>
        </c:spPr>
        <c:dLbl>
          <c:idx val="0"/>
          <c:layout>
            <c:manualLayout>
              <c:x val="-0.18060214064151073"/>
              <c:y val="-0.133250875197402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0.18060214064151073"/>
              <c:y val="-0.133250875197402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1592027559055111"/>
              <c:y val="0.208467428413553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890611329833771"/>
                  <c:h val="0.1552380952380952"/>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9.3308786042032479E-2"/>
              <c:y val="0.118056390055359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Prep4Dashboard!$D$14</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C5-48D3-A1CF-0E3D529169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C5-48D3-A1CF-0E3D529169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C5-48D3-A1CF-0E3D529169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C5-48D3-A1CF-0E3D529169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C5-48D3-A1CF-0E3D52916918}"/>
              </c:ext>
            </c:extLst>
          </c:dPt>
          <c:dLbls>
            <c:dLbl>
              <c:idx val="4"/>
              <c:layout>
                <c:manualLayout>
                  <c:x val="9.3308786042032479E-2"/>
                  <c:y val="0.1180563900553595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BC5-48D3-A1CF-0E3D529169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Prep4Dashboard!$C$15:$C$20</c:f>
              <c:strCache>
                <c:ptCount val="5"/>
                <c:pt idx="0">
                  <c:v>SUP100</c:v>
                </c:pt>
                <c:pt idx="1">
                  <c:v>SUP101</c:v>
                </c:pt>
                <c:pt idx="2">
                  <c:v>SUP102</c:v>
                </c:pt>
                <c:pt idx="3">
                  <c:v>SUP103</c:v>
                </c:pt>
                <c:pt idx="4">
                  <c:v>SUP104</c:v>
                </c:pt>
              </c:strCache>
            </c:strRef>
          </c:cat>
          <c:val>
            <c:numRef>
              <c:f>Prep4Dashboard!$D$15:$D$20</c:f>
              <c:numCache>
                <c:formatCode>"₱"#,##0</c:formatCode>
                <c:ptCount val="5"/>
                <c:pt idx="0">
                  <c:v>422690000</c:v>
                </c:pt>
                <c:pt idx="1">
                  <c:v>183647700</c:v>
                </c:pt>
                <c:pt idx="2">
                  <c:v>142254400</c:v>
                </c:pt>
                <c:pt idx="3">
                  <c:v>120280000</c:v>
                </c:pt>
                <c:pt idx="4">
                  <c:v>141073900</c:v>
                </c:pt>
              </c:numCache>
            </c:numRef>
          </c:val>
          <c:extLst>
            <c:ext xmlns:c16="http://schemas.microsoft.com/office/drawing/2014/chart" uri="{C3380CC4-5D6E-409C-BE32-E72D297353CC}">
              <c16:uniqueId val="{0000000A-6BC5-48D3-A1CF-0E3D5291691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Monthly Spment Volume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196370061585438E-2"/>
          <c:y val="2.1953896816684963E-2"/>
          <c:w val="0.922731977114848"/>
          <c:h val="0.79116946276336753"/>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'2025 Forecast'!$B$11:$B$24</c:f>
              <c:numCache>
                <c:formatCode>General</c:formatCode>
                <c:ptCount val="14"/>
                <c:pt idx="0">
                  <c:v>756</c:v>
                </c:pt>
                <c:pt idx="1">
                  <c:v>561</c:v>
                </c:pt>
                <c:pt idx="2">
                  <c:v>1825</c:v>
                </c:pt>
                <c:pt idx="3">
                  <c:v>1988</c:v>
                </c:pt>
                <c:pt idx="4">
                  <c:v>1939</c:v>
                </c:pt>
                <c:pt idx="5">
                  <c:v>775</c:v>
                </c:pt>
                <c:pt idx="6">
                  <c:v>1329</c:v>
                </c:pt>
                <c:pt idx="7">
                  <c:v>1586</c:v>
                </c:pt>
                <c:pt idx="8">
                  <c:v>2087</c:v>
                </c:pt>
                <c:pt idx="9">
                  <c:v>1565</c:v>
                </c:pt>
                <c:pt idx="10">
                  <c:v>1026</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03F6-4CB7-9C6B-516E315EA5EC}"/>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'2025 Forecast'!$A$11:$A$24</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'2025 Forecast'!$C$11:$C$24</c:f>
              <c:numCache>
                <c:formatCode>General</c:formatCode>
                <c:ptCount val="14"/>
                <c:pt idx="10">
                  <c:v>1026</c:v>
                </c:pt>
                <c:pt idx="11" formatCode="0">
                  <c:v>1584.5216698654822</c:v>
                </c:pt>
                <c:pt idx="12" formatCode="0">
                  <c:v>1628.9544448923848</c:v>
                </c:pt>
                <c:pt idx="13" formatCode="0">
                  <c:v>1673.3872199192865</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03F6-4CB7-9C6B-516E315EA5EC}"/>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'2025 Forecast'!$A$11:$A$24</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'2025 Forecast'!$D$11:$D$24</c:f>
              <c:numCache>
                <c:formatCode>General</c:formatCode>
                <c:ptCount val="14"/>
                <c:pt idx="10" formatCode="0">
                  <c:v>1026</c:v>
                </c:pt>
                <c:pt idx="11" formatCode="0">
                  <c:v>441.32990360357417</c:v>
                </c:pt>
                <c:pt idx="12" formatCode="0">
                  <c:v>450.30155771706222</c:v>
                </c:pt>
                <c:pt idx="13" formatCode="0">
                  <c:v>460.03846263064315</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03F6-4CB7-9C6B-516E315EA5EC}"/>
            </c:ext>
          </c:extLst>
        </c:ser>
        <c:ser>
          <c:idx val="3"/>
          <c:order val="3"/>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'2025 Forecast'!$A$11:$A$24</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'2025 Forecast'!$E$11:$E$24</c:f>
              <c:numCache>
                <c:formatCode>General</c:formatCode>
                <c:ptCount val="14"/>
                <c:pt idx="10" formatCode="0">
                  <c:v>1026</c:v>
                </c:pt>
                <c:pt idx="11" formatCode="0">
                  <c:v>2727.7134361273902</c:v>
                </c:pt>
                <c:pt idx="12" formatCode="0">
                  <c:v>2807.6073320677074</c:v>
                </c:pt>
                <c:pt idx="13" formatCode="0">
                  <c:v>2886.7359772079299</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03F6-4CB7-9C6B-516E315EA5EC}"/>
            </c:ext>
          </c:extLst>
        </c:ser>
        <c:dLbls>
          <c:showLegendKey val="0"/>
          <c:showVal val="0"/>
          <c:showCatName val="0"/>
          <c:showSerName val="0"/>
          <c:showPercent val="0"/>
          <c:showBubbleSize val="0"/>
        </c:dLbls>
        <c:marker val="1"/>
        <c:smooth val="0"/>
        <c:axId val="2064026864"/>
        <c:axId val="2064024784"/>
      </c:lineChart>
      <c:catAx>
        <c:axId val="2064026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024784"/>
        <c:crosses val="autoZero"/>
        <c:auto val="1"/>
        <c:lblAlgn val="ctr"/>
        <c:lblOffset val="100"/>
        <c:noMultiLvlLbl val="0"/>
      </c:catAx>
      <c:valAx>
        <c:axId val="206402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026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434340</xdr:colOff>
      <xdr:row>0</xdr:row>
      <xdr:rowOff>76200</xdr:rowOff>
    </xdr:from>
    <xdr:to>
      <xdr:col>11</xdr:col>
      <xdr:colOff>594360</xdr:colOff>
      <xdr:row>13</xdr:row>
      <xdr:rowOff>7620</xdr:rowOff>
    </xdr:to>
    <xdr:graphicFrame macro="">
      <xdr:nvGraphicFramePr>
        <xdr:cNvPr id="2" name="Chart 1">
          <a:extLst>
            <a:ext uri="{FF2B5EF4-FFF2-40B4-BE49-F238E27FC236}">
              <a16:creationId xmlns:a16="http://schemas.microsoft.com/office/drawing/2014/main" id="{3B6515DD-3B6A-C934-272E-01083730F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441960</xdr:colOff>
      <xdr:row>13</xdr:row>
      <xdr:rowOff>140970</xdr:rowOff>
    </xdr:from>
    <xdr:to>
      <xdr:col>12</xdr:col>
      <xdr:colOff>0</xdr:colOff>
      <xdr:row>29</xdr:row>
      <xdr:rowOff>0</xdr:rowOff>
    </xdr:to>
    <xdr:graphicFrame macro="">
      <xdr:nvGraphicFramePr>
        <xdr:cNvPr id="3" name="Chart 2">
          <a:extLst>
            <a:ext uri="{FF2B5EF4-FFF2-40B4-BE49-F238E27FC236}">
              <a16:creationId xmlns:a16="http://schemas.microsoft.com/office/drawing/2014/main" id="{7BB05A5E-76D8-0331-6671-D3B6408A3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259080</xdr:colOff>
      <xdr:row>14</xdr:row>
      <xdr:rowOff>3810</xdr:rowOff>
    </xdr:from>
    <xdr:to>
      <xdr:col>17</xdr:col>
      <xdr:colOff>91440</xdr:colOff>
      <xdr:row>28</xdr:row>
      <xdr:rowOff>160020</xdr:rowOff>
    </xdr:to>
    <xdr:graphicFrame macro="">
      <xdr:nvGraphicFramePr>
        <xdr:cNvPr id="4" name="Chart 3">
          <a:extLst>
            <a:ext uri="{FF2B5EF4-FFF2-40B4-BE49-F238E27FC236}">
              <a16:creationId xmlns:a16="http://schemas.microsoft.com/office/drawing/2014/main" id="{679639C4-9D3B-01A8-B4F7-C8B2B2960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274320</xdr:colOff>
      <xdr:row>0</xdr:row>
      <xdr:rowOff>45720</xdr:rowOff>
    </xdr:from>
    <xdr:to>
      <xdr:col>16</xdr:col>
      <xdr:colOff>358140</xdr:colOff>
      <xdr:row>13</xdr:row>
      <xdr:rowOff>0</xdr:rowOff>
    </xdr:to>
    <xdr:graphicFrame macro="">
      <xdr:nvGraphicFramePr>
        <xdr:cNvPr id="5" name="Chart 4">
          <a:extLst>
            <a:ext uri="{FF2B5EF4-FFF2-40B4-BE49-F238E27FC236}">
              <a16:creationId xmlns:a16="http://schemas.microsoft.com/office/drawing/2014/main" id="{C0B1C9E8-9D23-9A7A-EB2E-D45C9BD89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405554</xdr:colOff>
      <xdr:row>4</xdr:row>
      <xdr:rowOff>101599</xdr:rowOff>
    </xdr:from>
    <xdr:to>
      <xdr:col>6</xdr:col>
      <xdr:colOff>229448</xdr:colOff>
      <xdr:row>7</xdr:row>
      <xdr:rowOff>27936</xdr:rowOff>
    </xdr:to>
    <xdr:sp macro="" textlink="">
      <xdr:nvSpPr>
        <xdr:cNvPr id="2" name="Rectangle: Rounded Corners 1">
          <a:extLst>
            <a:ext uri="{FF2B5EF4-FFF2-40B4-BE49-F238E27FC236}">
              <a16:creationId xmlns:a16="http://schemas.microsoft.com/office/drawing/2014/main" id="{132C614D-C53B-02FA-0558-FF033AE4F94F}"/>
            </a:ext>
          </a:extLst>
        </xdr:cNvPr>
        <xdr:cNvSpPr/>
      </xdr:nvSpPr>
      <xdr:spPr>
        <a:xfrm>
          <a:off x="2843954" y="1024466"/>
          <a:ext cx="1618827" cy="48513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737446</xdr:colOff>
      <xdr:row>4</xdr:row>
      <xdr:rowOff>59266</xdr:rowOff>
    </xdr:from>
    <xdr:to>
      <xdr:col>7</xdr:col>
      <xdr:colOff>1264074</xdr:colOff>
      <xdr:row>6</xdr:row>
      <xdr:rowOff>177798</xdr:rowOff>
    </xdr:to>
    <xdr:sp macro="" textlink="">
      <xdr:nvSpPr>
        <xdr:cNvPr id="3" name="Rectangle: Rounded Corners 2">
          <a:extLst>
            <a:ext uri="{FF2B5EF4-FFF2-40B4-BE49-F238E27FC236}">
              <a16:creationId xmlns:a16="http://schemas.microsoft.com/office/drawing/2014/main" id="{ABF35771-4E74-4B82-ACB4-6D967569A29E}"/>
            </a:ext>
          </a:extLst>
        </xdr:cNvPr>
        <xdr:cNvSpPr/>
      </xdr:nvSpPr>
      <xdr:spPr>
        <a:xfrm>
          <a:off x="4970779" y="948266"/>
          <a:ext cx="1728895" cy="49106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1776307</xdr:colOff>
      <xdr:row>4</xdr:row>
      <xdr:rowOff>135466</xdr:rowOff>
    </xdr:from>
    <xdr:to>
      <xdr:col>10</xdr:col>
      <xdr:colOff>508000</xdr:colOff>
      <xdr:row>7</xdr:row>
      <xdr:rowOff>25399</xdr:rowOff>
    </xdr:to>
    <xdr:sp macro="" textlink="">
      <xdr:nvSpPr>
        <xdr:cNvPr id="4" name="Rectangle: Rounded Corners 3">
          <a:extLst>
            <a:ext uri="{FF2B5EF4-FFF2-40B4-BE49-F238E27FC236}">
              <a16:creationId xmlns:a16="http://schemas.microsoft.com/office/drawing/2014/main" id="{3A6266AD-3B59-4830-A99A-57CBBF599AFA}"/>
            </a:ext>
          </a:extLst>
        </xdr:cNvPr>
        <xdr:cNvSpPr/>
      </xdr:nvSpPr>
      <xdr:spPr>
        <a:xfrm>
          <a:off x="7211907" y="1024466"/>
          <a:ext cx="1898226" cy="44873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454662</xdr:colOff>
      <xdr:row>20</xdr:row>
      <xdr:rowOff>153248</xdr:rowOff>
    </xdr:from>
    <xdr:to>
      <xdr:col>14</xdr:col>
      <xdr:colOff>92285</xdr:colOff>
      <xdr:row>32</xdr:row>
      <xdr:rowOff>43182</xdr:rowOff>
    </xdr:to>
    <xdr:sp macro="" textlink="">
      <xdr:nvSpPr>
        <xdr:cNvPr id="6" name="Rectangle: Rounded Corners 5">
          <a:extLst>
            <a:ext uri="{FF2B5EF4-FFF2-40B4-BE49-F238E27FC236}">
              <a16:creationId xmlns:a16="http://schemas.microsoft.com/office/drawing/2014/main" id="{5204303D-F2B7-4914-8A3C-CBE4EF1E2D67}"/>
            </a:ext>
          </a:extLst>
        </xdr:cNvPr>
        <xdr:cNvSpPr/>
      </xdr:nvSpPr>
      <xdr:spPr>
        <a:xfrm>
          <a:off x="5805595" y="4056381"/>
          <a:ext cx="5242557" cy="212513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190500</xdr:colOff>
      <xdr:row>21</xdr:row>
      <xdr:rowOff>42331</xdr:rowOff>
    </xdr:from>
    <xdr:to>
      <xdr:col>7</xdr:col>
      <xdr:colOff>237067</xdr:colOff>
      <xdr:row>31</xdr:row>
      <xdr:rowOff>143932</xdr:rowOff>
    </xdr:to>
    <xdr:sp macro="" textlink="">
      <xdr:nvSpPr>
        <xdr:cNvPr id="7" name="Rectangle: Rounded Corners 6">
          <a:extLst>
            <a:ext uri="{FF2B5EF4-FFF2-40B4-BE49-F238E27FC236}">
              <a16:creationId xmlns:a16="http://schemas.microsoft.com/office/drawing/2014/main" id="{B3BD68C1-8D09-4354-8151-5B4E26DBC457}"/>
            </a:ext>
          </a:extLst>
        </xdr:cNvPr>
        <xdr:cNvSpPr/>
      </xdr:nvSpPr>
      <xdr:spPr>
        <a:xfrm>
          <a:off x="190500" y="4131731"/>
          <a:ext cx="5397500" cy="19642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447041</xdr:colOff>
      <xdr:row>7</xdr:row>
      <xdr:rowOff>25401</xdr:rowOff>
    </xdr:from>
    <xdr:to>
      <xdr:col>8</xdr:col>
      <xdr:colOff>203200</xdr:colOff>
      <xdr:row>21</xdr:row>
      <xdr:rowOff>33868</xdr:rowOff>
    </xdr:to>
    <xdr:sp macro="" textlink="">
      <xdr:nvSpPr>
        <xdr:cNvPr id="10" name="Rectangle: Rounded Corners 9">
          <a:extLst>
            <a:ext uri="{FF2B5EF4-FFF2-40B4-BE49-F238E27FC236}">
              <a16:creationId xmlns:a16="http://schemas.microsoft.com/office/drawing/2014/main" id="{1AFD01FE-3C86-422E-93DD-7D1B11E0CA2A}"/>
            </a:ext>
          </a:extLst>
        </xdr:cNvPr>
        <xdr:cNvSpPr/>
      </xdr:nvSpPr>
      <xdr:spPr>
        <a:xfrm>
          <a:off x="3715174" y="1473201"/>
          <a:ext cx="3870959" cy="2616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184574</xdr:colOff>
      <xdr:row>21</xdr:row>
      <xdr:rowOff>135466</xdr:rowOff>
    </xdr:from>
    <xdr:to>
      <xdr:col>7</xdr:col>
      <xdr:colOff>110067</xdr:colOff>
      <xdr:row>31</xdr:row>
      <xdr:rowOff>76199</xdr:rowOff>
    </xdr:to>
    <xdr:graphicFrame macro="">
      <xdr:nvGraphicFramePr>
        <xdr:cNvPr id="11" name="Chart 10">
          <a:extLst>
            <a:ext uri="{FF2B5EF4-FFF2-40B4-BE49-F238E27FC236}">
              <a16:creationId xmlns:a16="http://schemas.microsoft.com/office/drawing/2014/main" id="{A888FB64-CB8C-4930-A269-386BF595E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513925</xdr:colOff>
      <xdr:row>21</xdr:row>
      <xdr:rowOff>44025</xdr:rowOff>
    </xdr:from>
    <xdr:to>
      <xdr:col>14</xdr:col>
      <xdr:colOff>16933</xdr:colOff>
      <xdr:row>31</xdr:row>
      <xdr:rowOff>60959</xdr:rowOff>
    </xdr:to>
    <xdr:graphicFrame macro="">
      <xdr:nvGraphicFramePr>
        <xdr:cNvPr id="12" name="Chart 11">
          <a:extLst>
            <a:ext uri="{FF2B5EF4-FFF2-40B4-BE49-F238E27FC236}">
              <a16:creationId xmlns:a16="http://schemas.microsoft.com/office/drawing/2014/main" id="{33D88120-7DE5-45BD-9A5D-BC2F19B0B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558801</xdr:colOff>
      <xdr:row>7</xdr:row>
      <xdr:rowOff>127000</xdr:rowOff>
    </xdr:from>
    <xdr:to>
      <xdr:col>8</xdr:col>
      <xdr:colOff>59267</xdr:colOff>
      <xdr:row>20</xdr:row>
      <xdr:rowOff>135466</xdr:rowOff>
    </xdr:to>
    <xdr:graphicFrame macro="">
      <xdr:nvGraphicFramePr>
        <xdr:cNvPr id="13" name="Chart 12">
          <a:extLst>
            <a:ext uri="{FF2B5EF4-FFF2-40B4-BE49-F238E27FC236}">
              <a16:creationId xmlns:a16="http://schemas.microsoft.com/office/drawing/2014/main" id="{8ED694E8-4685-489C-BDE3-3B50BFDF4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685801</xdr:colOff>
      <xdr:row>5</xdr:row>
      <xdr:rowOff>160867</xdr:rowOff>
    </xdr:from>
    <xdr:to>
      <xdr:col>5</xdr:col>
      <xdr:colOff>863601</xdr:colOff>
      <xdr:row>7</xdr:row>
      <xdr:rowOff>1</xdr:rowOff>
    </xdr:to>
    <xdr:sp macro="" textlink="Prep4Dashboard!$G$8">
      <xdr:nvSpPr>
        <xdr:cNvPr id="5" name="TextBox 4">
          <a:extLst>
            <a:ext uri="{FF2B5EF4-FFF2-40B4-BE49-F238E27FC236}">
              <a16:creationId xmlns:a16="http://schemas.microsoft.com/office/drawing/2014/main" id="{6440E081-6DEE-2A8D-3A6D-0550EF1DFFD5}"/>
            </a:ext>
          </a:extLst>
        </xdr:cNvPr>
        <xdr:cNvSpPr txBox="1"/>
      </xdr:nvSpPr>
      <xdr:spPr>
        <a:xfrm>
          <a:off x="3124201" y="1270000"/>
          <a:ext cx="1007533" cy="211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7473B-A6B6-45BA-BBA3-D1B3974955C3}" type="TxLink">
            <a:rPr lang="en-US" sz="1400" b="1" i="0" u="none" strike="noStrike">
              <a:solidFill>
                <a:srgbClr val="00B050"/>
              </a:solidFill>
              <a:latin typeface="Calibri"/>
              <a:ea typeface="Calibri"/>
              <a:cs typeface="Calibri"/>
            </a:rPr>
            <a:pPr algn="ctr"/>
            <a:t>7231</a:t>
          </a:fld>
          <a:endParaRPr lang="en-US" sz="1400" b="1">
            <a:solidFill>
              <a:srgbClr val="00B050"/>
            </a:solidFill>
          </a:endParaRPr>
        </a:p>
      </xdr:txBody>
    </xdr:sp>
    <xdr:clientData/>
  </xdr:twoCellAnchor>
  <xdr:twoCellAnchor>
    <xdr:from>
      <xdr:col>6</xdr:col>
      <xdr:colOff>901699</xdr:colOff>
      <xdr:row>5</xdr:row>
      <xdr:rowOff>69427</xdr:rowOff>
    </xdr:from>
    <xdr:to>
      <xdr:col>7</xdr:col>
      <xdr:colOff>1096432</xdr:colOff>
      <xdr:row>6</xdr:row>
      <xdr:rowOff>177800</xdr:rowOff>
    </xdr:to>
    <xdr:sp macro="" textlink="Prep4Dashboard!$G$9">
      <xdr:nvSpPr>
        <xdr:cNvPr id="15" name="TextBox 14">
          <a:extLst>
            <a:ext uri="{FF2B5EF4-FFF2-40B4-BE49-F238E27FC236}">
              <a16:creationId xmlns:a16="http://schemas.microsoft.com/office/drawing/2014/main" id="{A6A0A89D-9207-4221-B774-002E7FD710D0}"/>
            </a:ext>
          </a:extLst>
        </xdr:cNvPr>
        <xdr:cNvSpPr txBox="1"/>
      </xdr:nvSpPr>
      <xdr:spPr>
        <a:xfrm>
          <a:off x="5135032" y="1178560"/>
          <a:ext cx="1312333" cy="294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CC3C00-0B80-4AFE-90F8-9EEAC005A6AE}" type="TxLink">
            <a:rPr lang="en-US" sz="1400" b="1" i="0" u="none" strike="noStrike">
              <a:solidFill>
                <a:srgbClr val="FF0000"/>
              </a:solidFill>
              <a:latin typeface="Calibri"/>
              <a:ea typeface="Calibri"/>
              <a:cs typeface="Calibri"/>
            </a:rPr>
            <a:pPr algn="ctr"/>
            <a:t>2489</a:t>
          </a:fld>
          <a:endParaRPr lang="en-US" sz="2800" b="1">
            <a:solidFill>
              <a:srgbClr val="FF0000"/>
            </a:solidFill>
          </a:endParaRPr>
        </a:p>
      </xdr:txBody>
    </xdr:sp>
    <xdr:clientData/>
  </xdr:twoCellAnchor>
  <xdr:twoCellAnchor>
    <xdr:from>
      <xdr:col>7</xdr:col>
      <xdr:colOff>1909232</xdr:colOff>
      <xdr:row>4</xdr:row>
      <xdr:rowOff>177800</xdr:rowOff>
    </xdr:from>
    <xdr:to>
      <xdr:col>10</xdr:col>
      <xdr:colOff>414866</xdr:colOff>
      <xdr:row>7</xdr:row>
      <xdr:rowOff>84667</xdr:rowOff>
    </xdr:to>
    <xdr:sp macro="" textlink="Prep4Dashboard!$G$10">
      <xdr:nvSpPr>
        <xdr:cNvPr id="16" name="TextBox 15">
          <a:extLst>
            <a:ext uri="{FF2B5EF4-FFF2-40B4-BE49-F238E27FC236}">
              <a16:creationId xmlns:a16="http://schemas.microsoft.com/office/drawing/2014/main" id="{1EA4F1BB-3FDA-441E-8EC9-FCA5BC63DA41}"/>
            </a:ext>
          </a:extLst>
        </xdr:cNvPr>
        <xdr:cNvSpPr txBox="1"/>
      </xdr:nvSpPr>
      <xdr:spPr>
        <a:xfrm>
          <a:off x="7344832" y="1066800"/>
          <a:ext cx="1672167"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BC74D0-5258-4257-8CC9-5AC33CC1ED45}" type="TxLink">
            <a:rPr lang="en-US" sz="1400" b="1" i="0" u="none" strike="noStrike">
              <a:solidFill>
                <a:srgbClr val="00B050"/>
              </a:solidFill>
              <a:latin typeface="Calibri"/>
              <a:ea typeface="Calibri"/>
              <a:cs typeface="Calibri"/>
            </a:rPr>
            <a:pPr algn="ctr"/>
            <a:t>₱4,795,599,200</a:t>
          </a:fld>
          <a:endParaRPr lang="en-US" sz="2800" b="1">
            <a:solidFill>
              <a:srgbClr val="00B050"/>
            </a:solidFill>
          </a:endParaRPr>
        </a:p>
      </xdr:txBody>
    </xdr:sp>
    <xdr:clientData/>
  </xdr:twoCellAnchor>
  <xdr:twoCellAnchor>
    <xdr:from>
      <xdr:col>4</xdr:col>
      <xdr:colOff>567267</xdr:colOff>
      <xdr:row>4</xdr:row>
      <xdr:rowOff>152400</xdr:rowOff>
    </xdr:from>
    <xdr:to>
      <xdr:col>6</xdr:col>
      <xdr:colOff>160867</xdr:colOff>
      <xdr:row>5</xdr:row>
      <xdr:rowOff>177801</xdr:rowOff>
    </xdr:to>
    <xdr:sp macro="" textlink="">
      <xdr:nvSpPr>
        <xdr:cNvPr id="9" name="Rectangle: Rounded Corners 8">
          <a:extLst>
            <a:ext uri="{FF2B5EF4-FFF2-40B4-BE49-F238E27FC236}">
              <a16:creationId xmlns:a16="http://schemas.microsoft.com/office/drawing/2014/main" id="{08A6071E-D5D8-2FA0-675A-F2B27B0670A7}"/>
            </a:ext>
          </a:extLst>
        </xdr:cNvPr>
        <xdr:cNvSpPr/>
      </xdr:nvSpPr>
      <xdr:spPr>
        <a:xfrm>
          <a:off x="3005667" y="1075267"/>
          <a:ext cx="1388533" cy="21166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PH" sz="1200" b="1"/>
            <a:t>Available</a:t>
          </a:r>
          <a:r>
            <a:rPr lang="en-PH" sz="1200" b="1" baseline="0"/>
            <a:t> Stock</a:t>
          </a:r>
          <a:endParaRPr lang="en-PH" sz="1200" b="1"/>
        </a:p>
      </xdr:txBody>
    </xdr:sp>
    <xdr:clientData/>
  </xdr:twoCellAnchor>
  <xdr:twoCellAnchor>
    <xdr:from>
      <xdr:col>6</xdr:col>
      <xdr:colOff>829735</xdr:colOff>
      <xdr:row>4</xdr:row>
      <xdr:rowOff>84667</xdr:rowOff>
    </xdr:from>
    <xdr:to>
      <xdr:col>7</xdr:col>
      <xdr:colOff>1176868</xdr:colOff>
      <xdr:row>5</xdr:row>
      <xdr:rowOff>118535</xdr:rowOff>
    </xdr:to>
    <xdr:sp macro="" textlink="">
      <xdr:nvSpPr>
        <xdr:cNvPr id="17" name="Rectangle: Rounded Corners 16">
          <a:extLst>
            <a:ext uri="{FF2B5EF4-FFF2-40B4-BE49-F238E27FC236}">
              <a16:creationId xmlns:a16="http://schemas.microsoft.com/office/drawing/2014/main" id="{01968C70-EF5A-05AD-9BA7-4D285F704820}"/>
            </a:ext>
          </a:extLst>
        </xdr:cNvPr>
        <xdr:cNvSpPr/>
      </xdr:nvSpPr>
      <xdr:spPr>
        <a:xfrm>
          <a:off x="5063068" y="1007534"/>
          <a:ext cx="1464733" cy="22013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200" b="1"/>
            <a:t>Limit Stock</a:t>
          </a:r>
        </a:p>
      </xdr:txBody>
    </xdr:sp>
    <xdr:clientData/>
  </xdr:twoCellAnchor>
  <xdr:twoCellAnchor>
    <xdr:from>
      <xdr:col>8</xdr:col>
      <xdr:colOff>33866</xdr:colOff>
      <xdr:row>4</xdr:row>
      <xdr:rowOff>84666</xdr:rowOff>
    </xdr:from>
    <xdr:to>
      <xdr:col>10</xdr:col>
      <xdr:colOff>440266</xdr:colOff>
      <xdr:row>5</xdr:row>
      <xdr:rowOff>127000</xdr:rowOff>
    </xdr:to>
    <xdr:sp macro="" textlink="">
      <xdr:nvSpPr>
        <xdr:cNvPr id="19" name="Rectangle: Rounded Corners 18">
          <a:extLst>
            <a:ext uri="{FF2B5EF4-FFF2-40B4-BE49-F238E27FC236}">
              <a16:creationId xmlns:a16="http://schemas.microsoft.com/office/drawing/2014/main" id="{FC6B40AA-0A38-3D7D-DAC0-6E007E3B21F4}"/>
            </a:ext>
          </a:extLst>
        </xdr:cNvPr>
        <xdr:cNvSpPr/>
      </xdr:nvSpPr>
      <xdr:spPr>
        <a:xfrm>
          <a:off x="7416799" y="973666"/>
          <a:ext cx="1625600" cy="2286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t>Total Supplier Revenue</a:t>
          </a:r>
        </a:p>
      </xdr:txBody>
    </xdr:sp>
    <xdr:clientData/>
  </xdr:twoCellAnchor>
  <xdr:twoCellAnchor editAs="oneCell">
    <xdr:from>
      <xdr:col>4</xdr:col>
      <xdr:colOff>607906</xdr:colOff>
      <xdr:row>0</xdr:row>
      <xdr:rowOff>304799</xdr:rowOff>
    </xdr:from>
    <xdr:to>
      <xdr:col>9</xdr:col>
      <xdr:colOff>592667</xdr:colOff>
      <xdr:row>4</xdr:row>
      <xdr:rowOff>33866</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E180048B-8D79-BEF7-D707-038E448DB6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46306" y="304799"/>
              <a:ext cx="5538894" cy="61806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0.41399</cdr:x>
      <cdr:y>0</cdr:y>
    </cdr:from>
    <cdr:to>
      <cdr:x>0.69159</cdr:x>
      <cdr:y>0.12207</cdr:y>
    </cdr:to>
    <cdr:sp macro="" textlink="">
      <cdr:nvSpPr>
        <cdr:cNvPr id="3" name="Rectangle: Rounded Corners 2">
          <a:extLst xmlns:a="http://schemas.openxmlformats.org/drawingml/2006/main">
            <a:ext uri="{FF2B5EF4-FFF2-40B4-BE49-F238E27FC236}">
              <a16:creationId xmlns:a16="http://schemas.microsoft.com/office/drawing/2014/main" id="{01968C70-EF5A-05AD-9BA7-4D285F704820}"/>
            </a:ext>
          </a:extLst>
        </cdr:cNvPr>
        <cdr:cNvSpPr/>
      </cdr:nvSpPr>
      <cdr:spPr>
        <a:xfrm xmlns:a="http://schemas.openxmlformats.org/drawingml/2006/main">
          <a:off x="2184400" y="0"/>
          <a:ext cx="1464733" cy="220133"/>
        </a:xfrm>
        <a:prstGeom xmlns:a="http://schemas.openxmlformats.org/drawingml/2006/main" prst="round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PH" sz="1200" b="1"/>
            <a:t>Stock</a:t>
          </a:r>
          <a:r>
            <a:rPr lang="en-PH" sz="1200" b="1" baseline="0"/>
            <a:t> per Item</a:t>
          </a:r>
          <a:endParaRPr lang="en-PH" sz="1200" b="1"/>
        </a:p>
      </cdr:txBody>
    </cdr:sp>
  </cdr:relSizeAnchor>
</c:userShapes>
</file>

<file path=xl/drawings/drawing4.xml><?xml version="1.0" encoding="utf-8"?>
<c:userShapes xmlns:c="http://schemas.openxmlformats.org/drawingml/2006/chart">
  <cdr:relSizeAnchor xmlns:cdr="http://schemas.openxmlformats.org/drawingml/2006/chartDrawing">
    <cdr:from>
      <cdr:x>0.35522</cdr:x>
      <cdr:y>0</cdr:y>
    </cdr:from>
    <cdr:to>
      <cdr:x>0.75135</cdr:x>
      <cdr:y>0.15676</cdr:y>
    </cdr:to>
    <cdr:sp macro="" textlink="">
      <cdr:nvSpPr>
        <cdr:cNvPr id="2" name="Rectangle: Rounded Corners 1">
          <a:extLst xmlns:a="http://schemas.openxmlformats.org/drawingml/2006/main">
            <a:ext uri="{FF2B5EF4-FFF2-40B4-BE49-F238E27FC236}">
              <a16:creationId xmlns:a16="http://schemas.microsoft.com/office/drawing/2014/main" id="{3A4A618E-E160-0132-6CDF-F4C7B3D761AF}"/>
            </a:ext>
          </a:extLst>
        </cdr:cNvPr>
        <cdr:cNvSpPr/>
      </cdr:nvSpPr>
      <cdr:spPr>
        <a:xfrm xmlns:a="http://schemas.openxmlformats.org/drawingml/2006/main">
          <a:off x="1786467" y="0"/>
          <a:ext cx="1992209" cy="294641"/>
        </a:xfrm>
        <a:prstGeom xmlns:a="http://schemas.openxmlformats.org/drawingml/2006/main" prst="round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PH" sz="1200" b="1"/>
            <a:t>Product Sales Performance</a:t>
          </a:r>
          <a:r>
            <a:rPr lang="en-PH" sz="1200" b="1" baseline="0"/>
            <a:t> </a:t>
          </a:r>
          <a:endParaRPr lang="en-PH" sz="1200" b="1"/>
        </a:p>
      </cdr:txBody>
    </cdr:sp>
  </cdr:relSizeAnchor>
</c:userShapes>
</file>

<file path=xl/drawings/drawing5.xml><?xml version="1.0" encoding="utf-8"?>
<c:userShapes xmlns:c="http://schemas.openxmlformats.org/drawingml/2006/chart">
  <cdr:relSizeAnchor xmlns:cdr="http://schemas.openxmlformats.org/drawingml/2006/chartDrawing">
    <cdr:from>
      <cdr:x>0.23747</cdr:x>
      <cdr:y>0.10547</cdr:y>
    </cdr:from>
    <cdr:to>
      <cdr:x>0.76275</cdr:x>
      <cdr:y>0.1954</cdr:y>
    </cdr:to>
    <cdr:sp macro="" textlink="">
      <cdr:nvSpPr>
        <cdr:cNvPr id="3" name="Rectangle: Rounded Corners 2">
          <a:extLst xmlns:a="http://schemas.openxmlformats.org/drawingml/2006/main">
            <a:ext uri="{FF2B5EF4-FFF2-40B4-BE49-F238E27FC236}">
              <a16:creationId xmlns:a16="http://schemas.microsoft.com/office/drawing/2014/main" id="{01968C70-EF5A-05AD-9BA7-4D285F704820}"/>
            </a:ext>
          </a:extLst>
        </cdr:cNvPr>
        <cdr:cNvSpPr/>
      </cdr:nvSpPr>
      <cdr:spPr>
        <a:xfrm xmlns:a="http://schemas.openxmlformats.org/drawingml/2006/main">
          <a:off x="794185" y="228600"/>
          <a:ext cx="1756692" cy="194914"/>
        </a:xfrm>
        <a:prstGeom xmlns:a="http://schemas.openxmlformats.org/drawingml/2006/main" prst="round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PH" sz="1200" b="1"/>
            <a:t>Revenue</a:t>
          </a:r>
          <a:r>
            <a:rPr lang="en-PH" sz="1200" b="1" baseline="0"/>
            <a:t> per supplier</a:t>
          </a:r>
          <a:endParaRPr lang="en-PH" sz="1200" b="1"/>
        </a:p>
      </cdr:txBody>
    </cdr:sp>
  </cdr:relSizeAnchor>
</c:userShapes>
</file>

<file path=xl/drawings/drawing6.xml><?xml version="1.0" encoding="utf-8"?>
<xdr:wsDr xmlns:xdr="http://schemas.openxmlformats.org/drawingml/2006/spreadsheetDrawing" xmlns:a="http://schemas.openxmlformats.org/drawingml/2006/main">
  <xdr:twoCellAnchor>
    <xdr:from>
      <xdr:col>5</xdr:col>
      <xdr:colOff>137160</xdr:colOff>
      <xdr:row>2</xdr:row>
      <xdr:rowOff>163831</xdr:rowOff>
    </xdr:from>
    <xdr:to>
      <xdr:col>14</xdr:col>
      <xdr:colOff>411480</xdr:colOff>
      <xdr:row>21</xdr:row>
      <xdr:rowOff>160021</xdr:rowOff>
    </xdr:to>
    <xdr:graphicFrame macro="">
      <xdr:nvGraphicFramePr>
        <xdr:cNvPr id="2" name="Chart 1">
          <a:extLst>
            <a:ext uri="{FF2B5EF4-FFF2-40B4-BE49-F238E27FC236}">
              <a16:creationId xmlns:a16="http://schemas.microsoft.com/office/drawing/2014/main" id="{2BB9389D-924D-B9D4-B7C6-5D695983C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2.995070833334" createdVersion="8" refreshedVersion="8" minRefreshableVersion="3" recordCount="500" xr:uid="{7065D886-A915-4FC9-97B9-1EDC0B8C88E5}">
  <cacheSource type="worksheet">
    <worksheetSource name="inventory_appliances__1"/>
  </cacheSource>
  <cacheFields count="8">
    <cacheField name="item_id" numFmtId="0">
      <sharedItems/>
    </cacheField>
    <cacheField name="item_name" numFmtId="0">
      <sharedItems count="20">
        <s v="Fan Heater"/>
        <s v="Juicer"/>
        <s v="Rice Cooker"/>
        <s v="LED TV"/>
        <s v="Coffee Maker"/>
        <s v="Air Conditioner"/>
        <s v="Vacuum Cleaner"/>
        <s v="Food Processor"/>
        <s v="Electricfan"/>
        <s v="Refrigerator"/>
        <s v="Microwave"/>
        <s v="Washing Machine"/>
        <s v="Dishwasher"/>
        <s v="Water Heater"/>
        <s v="Iron"/>
        <s v="Mixer"/>
        <s v="Toaster"/>
        <s v="Dehumidifier"/>
        <s v="Clothes Dryer"/>
        <s v="Blender"/>
      </sharedItems>
    </cacheField>
    <cacheField name="category" numFmtId="0">
      <sharedItems count="4">
        <s v="Cleaning"/>
        <s v="Kitchen Appliances"/>
        <s v="Cooling &amp; Heating"/>
        <s v="Home Goods"/>
      </sharedItems>
    </cacheField>
    <cacheField name="stock" numFmtId="0">
      <sharedItems containsSemiMixedTypes="0" containsString="0" containsNumber="1" containsInteger="1" minValue="10" maxValue="109"/>
    </cacheField>
    <cacheField name="reorder_level" numFmtId="0">
      <sharedItems containsSemiMixedTypes="0" containsString="0" containsNumber="1" containsInteger="1" minValue="5" maxValue="34"/>
    </cacheField>
    <cacheField name="supplier_id" numFmtId="0">
      <sharedItems count="5">
        <s v="SUP101"/>
        <s v="SUP104"/>
        <s v="SUP100"/>
        <s v="SUP102"/>
        <s v="SUP103"/>
      </sharedItems>
    </cacheField>
    <cacheField name="price" numFmtId="0">
      <sharedItems containsSemiMixedTypes="0" containsString="0" containsNumber="1" containsInteger="1" minValue="800" maxValue="18000"/>
    </cacheField>
    <cacheField name="nventory value" numFmtId="0" formula="price*stock" databaseField="0"/>
  </cacheFields>
  <extLst>
    <ext xmlns:x14="http://schemas.microsoft.com/office/spreadsheetml/2009/9/main" uri="{725AE2AE-9491-48be-B2B4-4EB974FC3084}">
      <x14:pivotCacheDefinition pivotCacheId="638285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TEM001"/>
    <x v="0"/>
    <x v="0"/>
    <n v="19"/>
    <n v="26"/>
    <x v="0"/>
    <n v="1800"/>
  </r>
  <r>
    <s v="ITEM002"/>
    <x v="1"/>
    <x v="0"/>
    <n v="85"/>
    <n v="13"/>
    <x v="0"/>
    <n v="2000"/>
  </r>
  <r>
    <s v="ITEM003"/>
    <x v="2"/>
    <x v="1"/>
    <n v="65"/>
    <n v="26"/>
    <x v="1"/>
    <n v="1500"/>
  </r>
  <r>
    <s v="ITEM004"/>
    <x v="3"/>
    <x v="1"/>
    <n v="69"/>
    <n v="17"/>
    <x v="2"/>
    <n v="11500"/>
  </r>
  <r>
    <s v="ITEM005"/>
    <x v="4"/>
    <x v="0"/>
    <n v="93"/>
    <n v="17"/>
    <x v="3"/>
    <n v="2500"/>
  </r>
  <r>
    <s v="ITEM006"/>
    <x v="0"/>
    <x v="1"/>
    <n v="20"/>
    <n v="7"/>
    <x v="3"/>
    <n v="1800"/>
  </r>
  <r>
    <s v="ITEM007"/>
    <x v="5"/>
    <x v="2"/>
    <n v="82"/>
    <n v="14"/>
    <x v="2"/>
    <n v="18000"/>
  </r>
  <r>
    <s v="ITEM008"/>
    <x v="6"/>
    <x v="2"/>
    <n v="36"/>
    <n v="15"/>
    <x v="4"/>
    <n v="3500"/>
  </r>
  <r>
    <s v="ITEM009"/>
    <x v="7"/>
    <x v="2"/>
    <n v="40"/>
    <n v="9"/>
    <x v="4"/>
    <n v="3000"/>
  </r>
  <r>
    <s v="ITEM010"/>
    <x v="0"/>
    <x v="3"/>
    <n v="59"/>
    <n v="34"/>
    <x v="0"/>
    <n v="1800"/>
  </r>
  <r>
    <s v="ITEM011"/>
    <x v="5"/>
    <x v="1"/>
    <n v="61"/>
    <n v="16"/>
    <x v="3"/>
    <n v="18000"/>
  </r>
  <r>
    <s v="ITEM012"/>
    <x v="3"/>
    <x v="2"/>
    <n v="50"/>
    <n v="16"/>
    <x v="1"/>
    <n v="11500"/>
  </r>
  <r>
    <s v="ITEM013"/>
    <x v="2"/>
    <x v="1"/>
    <n v="81"/>
    <n v="32"/>
    <x v="2"/>
    <n v="1500"/>
  </r>
  <r>
    <s v="ITEM014"/>
    <x v="8"/>
    <x v="3"/>
    <n v="19"/>
    <n v="14"/>
    <x v="4"/>
    <n v="1500"/>
  </r>
  <r>
    <s v="ITEM015"/>
    <x v="9"/>
    <x v="3"/>
    <n v="89"/>
    <n v="8"/>
    <x v="2"/>
    <n v="17500"/>
  </r>
  <r>
    <s v="ITEM016"/>
    <x v="3"/>
    <x v="0"/>
    <n v="52"/>
    <n v="7"/>
    <x v="1"/>
    <n v="11500"/>
  </r>
  <r>
    <s v="ITEM017"/>
    <x v="10"/>
    <x v="0"/>
    <n v="69"/>
    <n v="8"/>
    <x v="3"/>
    <n v="2000"/>
  </r>
  <r>
    <s v="ITEM018"/>
    <x v="11"/>
    <x v="1"/>
    <n v="82"/>
    <n v="19"/>
    <x v="3"/>
    <n v="12000"/>
  </r>
  <r>
    <s v="ITEM019"/>
    <x v="3"/>
    <x v="2"/>
    <n v="106"/>
    <n v="30"/>
    <x v="0"/>
    <n v="11500"/>
  </r>
  <r>
    <s v="ITEM020"/>
    <x v="12"/>
    <x v="0"/>
    <n v="69"/>
    <n v="13"/>
    <x v="3"/>
    <n v="10000"/>
  </r>
  <r>
    <s v="ITEM021"/>
    <x v="11"/>
    <x v="3"/>
    <n v="44"/>
    <n v="14"/>
    <x v="0"/>
    <n v="12000"/>
  </r>
  <r>
    <s v="ITEM022"/>
    <x v="2"/>
    <x v="1"/>
    <n v="85"/>
    <n v="22"/>
    <x v="1"/>
    <n v="1500"/>
  </r>
  <r>
    <s v="ITEM023"/>
    <x v="7"/>
    <x v="2"/>
    <n v="36"/>
    <n v="28"/>
    <x v="1"/>
    <n v="3000"/>
  </r>
  <r>
    <s v="ITEM024"/>
    <x v="13"/>
    <x v="3"/>
    <n v="88"/>
    <n v="30"/>
    <x v="3"/>
    <n v="4500"/>
  </r>
  <r>
    <s v="ITEM025"/>
    <x v="2"/>
    <x v="0"/>
    <n v="106"/>
    <n v="23"/>
    <x v="2"/>
    <n v="1500"/>
  </r>
  <r>
    <s v="ITEM026"/>
    <x v="8"/>
    <x v="3"/>
    <n v="68"/>
    <n v="11"/>
    <x v="0"/>
    <n v="1500"/>
  </r>
  <r>
    <s v="ITEM027"/>
    <x v="6"/>
    <x v="1"/>
    <n v="18"/>
    <n v="20"/>
    <x v="1"/>
    <n v="3500"/>
  </r>
  <r>
    <s v="ITEM028"/>
    <x v="14"/>
    <x v="3"/>
    <n v="93"/>
    <n v="5"/>
    <x v="3"/>
    <n v="1000"/>
  </r>
  <r>
    <s v="ITEM029"/>
    <x v="6"/>
    <x v="1"/>
    <n v="88"/>
    <n v="31"/>
    <x v="1"/>
    <n v="3500"/>
  </r>
  <r>
    <s v="ITEM030"/>
    <x v="15"/>
    <x v="3"/>
    <n v="43"/>
    <n v="14"/>
    <x v="2"/>
    <n v="1200"/>
  </r>
  <r>
    <s v="ITEM031"/>
    <x v="16"/>
    <x v="0"/>
    <n v="75"/>
    <n v="11"/>
    <x v="4"/>
    <n v="800"/>
  </r>
  <r>
    <s v="ITEM032"/>
    <x v="17"/>
    <x v="0"/>
    <n v="12"/>
    <n v="9"/>
    <x v="3"/>
    <n v="5500"/>
  </r>
  <r>
    <s v="ITEM033"/>
    <x v="4"/>
    <x v="2"/>
    <n v="99"/>
    <n v="9"/>
    <x v="2"/>
    <n v="2500"/>
  </r>
  <r>
    <s v="ITEM034"/>
    <x v="0"/>
    <x v="1"/>
    <n v="36"/>
    <n v="9"/>
    <x v="0"/>
    <n v="1800"/>
  </r>
  <r>
    <s v="ITEM035"/>
    <x v="12"/>
    <x v="1"/>
    <n v="97"/>
    <n v="16"/>
    <x v="2"/>
    <n v="10000"/>
  </r>
  <r>
    <s v="ITEM036"/>
    <x v="17"/>
    <x v="3"/>
    <n v="61"/>
    <n v="31"/>
    <x v="4"/>
    <n v="5500"/>
  </r>
  <r>
    <s v="ITEM037"/>
    <x v="18"/>
    <x v="1"/>
    <n v="22"/>
    <n v="6"/>
    <x v="4"/>
    <n v="9000"/>
  </r>
  <r>
    <s v="ITEM038"/>
    <x v="7"/>
    <x v="3"/>
    <n v="59"/>
    <n v="16"/>
    <x v="0"/>
    <n v="3000"/>
  </r>
  <r>
    <s v="ITEM039"/>
    <x v="15"/>
    <x v="2"/>
    <n v="22"/>
    <n v="23"/>
    <x v="3"/>
    <n v="1200"/>
  </r>
  <r>
    <s v="ITEM040"/>
    <x v="5"/>
    <x v="3"/>
    <n v="49"/>
    <n v="25"/>
    <x v="0"/>
    <n v="18000"/>
  </r>
  <r>
    <s v="ITEM041"/>
    <x v="7"/>
    <x v="1"/>
    <n v="17"/>
    <n v="17"/>
    <x v="2"/>
    <n v="3000"/>
  </r>
  <r>
    <s v="ITEM042"/>
    <x v="3"/>
    <x v="0"/>
    <n v="21"/>
    <n v="13"/>
    <x v="2"/>
    <n v="11500"/>
  </r>
  <r>
    <s v="ITEM043"/>
    <x v="4"/>
    <x v="0"/>
    <n v="43"/>
    <n v="27"/>
    <x v="1"/>
    <n v="2500"/>
  </r>
  <r>
    <s v="ITEM044"/>
    <x v="4"/>
    <x v="1"/>
    <n v="68"/>
    <n v="34"/>
    <x v="4"/>
    <n v="2500"/>
  </r>
  <r>
    <s v="ITEM045"/>
    <x v="3"/>
    <x v="2"/>
    <n v="12"/>
    <n v="13"/>
    <x v="0"/>
    <n v="11500"/>
  </r>
  <r>
    <s v="ITEM046"/>
    <x v="4"/>
    <x v="0"/>
    <n v="35"/>
    <n v="5"/>
    <x v="1"/>
    <n v="2500"/>
  </r>
  <r>
    <s v="ITEM047"/>
    <x v="12"/>
    <x v="0"/>
    <n v="68"/>
    <n v="19"/>
    <x v="2"/>
    <n v="10000"/>
  </r>
  <r>
    <s v="ITEM048"/>
    <x v="10"/>
    <x v="0"/>
    <n v="75"/>
    <n v="27"/>
    <x v="0"/>
    <n v="2000"/>
  </r>
  <r>
    <s v="ITEM049"/>
    <x v="5"/>
    <x v="2"/>
    <n v="70"/>
    <n v="15"/>
    <x v="0"/>
    <n v="18000"/>
  </r>
  <r>
    <s v="ITEM050"/>
    <x v="3"/>
    <x v="0"/>
    <n v="15"/>
    <n v="28"/>
    <x v="0"/>
    <n v="11500"/>
  </r>
  <r>
    <s v="ITEM051"/>
    <x v="16"/>
    <x v="2"/>
    <n v="41"/>
    <n v="6"/>
    <x v="0"/>
    <n v="800"/>
  </r>
  <r>
    <s v="ITEM052"/>
    <x v="5"/>
    <x v="0"/>
    <n v="40"/>
    <n v="8"/>
    <x v="0"/>
    <n v="18000"/>
  </r>
  <r>
    <s v="ITEM053"/>
    <x v="7"/>
    <x v="2"/>
    <n v="55"/>
    <n v="7"/>
    <x v="3"/>
    <n v="3000"/>
  </r>
  <r>
    <s v="ITEM054"/>
    <x v="10"/>
    <x v="3"/>
    <n v="77"/>
    <n v="32"/>
    <x v="0"/>
    <n v="2000"/>
  </r>
  <r>
    <s v="ITEM055"/>
    <x v="18"/>
    <x v="1"/>
    <n v="83"/>
    <n v="12"/>
    <x v="3"/>
    <n v="9000"/>
  </r>
  <r>
    <s v="ITEM056"/>
    <x v="14"/>
    <x v="2"/>
    <n v="64"/>
    <n v="21"/>
    <x v="3"/>
    <n v="1000"/>
  </r>
  <r>
    <s v="ITEM057"/>
    <x v="10"/>
    <x v="0"/>
    <n v="11"/>
    <n v="28"/>
    <x v="3"/>
    <n v="2000"/>
  </r>
  <r>
    <s v="ITEM058"/>
    <x v="15"/>
    <x v="3"/>
    <n v="45"/>
    <n v="20"/>
    <x v="0"/>
    <n v="1200"/>
  </r>
  <r>
    <s v="ITEM059"/>
    <x v="16"/>
    <x v="3"/>
    <n v="47"/>
    <n v="13"/>
    <x v="3"/>
    <n v="800"/>
  </r>
  <r>
    <s v="ITEM060"/>
    <x v="10"/>
    <x v="0"/>
    <n v="103"/>
    <n v="5"/>
    <x v="4"/>
    <n v="2000"/>
  </r>
  <r>
    <s v="ITEM061"/>
    <x v="13"/>
    <x v="1"/>
    <n v="14"/>
    <n v="19"/>
    <x v="3"/>
    <n v="4500"/>
  </r>
  <r>
    <s v="ITEM062"/>
    <x v="15"/>
    <x v="3"/>
    <n v="66"/>
    <n v="24"/>
    <x v="3"/>
    <n v="1200"/>
  </r>
  <r>
    <s v="ITEM063"/>
    <x v="13"/>
    <x v="2"/>
    <n v="53"/>
    <n v="17"/>
    <x v="0"/>
    <n v="4500"/>
  </r>
  <r>
    <s v="ITEM064"/>
    <x v="11"/>
    <x v="2"/>
    <n v="24"/>
    <n v="7"/>
    <x v="0"/>
    <n v="12000"/>
  </r>
  <r>
    <s v="ITEM065"/>
    <x v="9"/>
    <x v="2"/>
    <n v="52"/>
    <n v="6"/>
    <x v="3"/>
    <n v="17500"/>
  </r>
  <r>
    <s v="ITEM066"/>
    <x v="6"/>
    <x v="1"/>
    <n v="105"/>
    <n v="24"/>
    <x v="1"/>
    <n v="3500"/>
  </r>
  <r>
    <s v="ITEM067"/>
    <x v="18"/>
    <x v="0"/>
    <n v="92"/>
    <n v="33"/>
    <x v="2"/>
    <n v="9000"/>
  </r>
  <r>
    <s v="ITEM068"/>
    <x v="15"/>
    <x v="3"/>
    <n v="20"/>
    <n v="30"/>
    <x v="3"/>
    <n v="1200"/>
  </r>
  <r>
    <s v="ITEM069"/>
    <x v="6"/>
    <x v="1"/>
    <n v="98"/>
    <n v="33"/>
    <x v="4"/>
    <n v="3500"/>
  </r>
  <r>
    <s v="ITEM070"/>
    <x v="18"/>
    <x v="2"/>
    <n v="48"/>
    <n v="18"/>
    <x v="1"/>
    <n v="9000"/>
  </r>
  <r>
    <s v="ITEM071"/>
    <x v="18"/>
    <x v="3"/>
    <n v="43"/>
    <n v="28"/>
    <x v="2"/>
    <n v="9000"/>
  </r>
  <r>
    <s v="ITEM072"/>
    <x v="16"/>
    <x v="0"/>
    <n v="41"/>
    <n v="24"/>
    <x v="4"/>
    <n v="800"/>
  </r>
  <r>
    <s v="ITEM073"/>
    <x v="9"/>
    <x v="3"/>
    <n v="96"/>
    <n v="20"/>
    <x v="1"/>
    <n v="17500"/>
  </r>
  <r>
    <s v="ITEM074"/>
    <x v="4"/>
    <x v="3"/>
    <n v="69"/>
    <n v="20"/>
    <x v="1"/>
    <n v="2500"/>
  </r>
  <r>
    <s v="ITEM075"/>
    <x v="15"/>
    <x v="1"/>
    <n v="12"/>
    <n v="17"/>
    <x v="3"/>
    <n v="1200"/>
  </r>
  <r>
    <s v="ITEM076"/>
    <x v="16"/>
    <x v="0"/>
    <n v="82"/>
    <n v="33"/>
    <x v="2"/>
    <n v="800"/>
  </r>
  <r>
    <s v="ITEM077"/>
    <x v="9"/>
    <x v="1"/>
    <n v="50"/>
    <n v="10"/>
    <x v="0"/>
    <n v="17500"/>
  </r>
  <r>
    <s v="ITEM078"/>
    <x v="17"/>
    <x v="2"/>
    <n v="96"/>
    <n v="16"/>
    <x v="0"/>
    <n v="5500"/>
  </r>
  <r>
    <s v="ITEM079"/>
    <x v="10"/>
    <x v="1"/>
    <n v="12"/>
    <n v="12"/>
    <x v="0"/>
    <n v="2000"/>
  </r>
  <r>
    <s v="ITEM080"/>
    <x v="3"/>
    <x v="0"/>
    <n v="48"/>
    <n v="20"/>
    <x v="0"/>
    <n v="11500"/>
  </r>
  <r>
    <s v="ITEM081"/>
    <x v="5"/>
    <x v="0"/>
    <n v="14"/>
    <n v="18"/>
    <x v="3"/>
    <n v="18000"/>
  </r>
  <r>
    <s v="ITEM082"/>
    <x v="7"/>
    <x v="0"/>
    <n v="106"/>
    <n v="16"/>
    <x v="4"/>
    <n v="3000"/>
  </r>
  <r>
    <s v="ITEM083"/>
    <x v="3"/>
    <x v="1"/>
    <n v="58"/>
    <n v="11"/>
    <x v="2"/>
    <n v="11500"/>
  </r>
  <r>
    <s v="ITEM084"/>
    <x v="3"/>
    <x v="2"/>
    <n v="21"/>
    <n v="22"/>
    <x v="4"/>
    <n v="11500"/>
  </r>
  <r>
    <s v="ITEM085"/>
    <x v="17"/>
    <x v="1"/>
    <n v="94"/>
    <n v="23"/>
    <x v="1"/>
    <n v="5500"/>
  </r>
  <r>
    <s v="ITEM086"/>
    <x v="13"/>
    <x v="2"/>
    <n v="83"/>
    <n v="20"/>
    <x v="0"/>
    <n v="4500"/>
  </r>
  <r>
    <s v="ITEM087"/>
    <x v="4"/>
    <x v="2"/>
    <n v="28"/>
    <n v="12"/>
    <x v="2"/>
    <n v="2500"/>
  </r>
  <r>
    <s v="ITEM088"/>
    <x v="10"/>
    <x v="0"/>
    <n v="12"/>
    <n v="16"/>
    <x v="4"/>
    <n v="2000"/>
  </r>
  <r>
    <s v="ITEM089"/>
    <x v="9"/>
    <x v="1"/>
    <n v="108"/>
    <n v="28"/>
    <x v="0"/>
    <n v="17500"/>
  </r>
  <r>
    <s v="ITEM090"/>
    <x v="9"/>
    <x v="2"/>
    <n v="27"/>
    <n v="29"/>
    <x v="3"/>
    <n v="17500"/>
  </r>
  <r>
    <s v="ITEM091"/>
    <x v="0"/>
    <x v="0"/>
    <n v="14"/>
    <n v="11"/>
    <x v="1"/>
    <n v="1800"/>
  </r>
  <r>
    <s v="ITEM092"/>
    <x v="16"/>
    <x v="3"/>
    <n v="37"/>
    <n v="5"/>
    <x v="1"/>
    <n v="800"/>
  </r>
  <r>
    <s v="ITEM093"/>
    <x v="2"/>
    <x v="2"/>
    <n v="106"/>
    <n v="18"/>
    <x v="2"/>
    <n v="1500"/>
  </r>
  <r>
    <s v="ITEM094"/>
    <x v="15"/>
    <x v="2"/>
    <n v="70"/>
    <n v="5"/>
    <x v="2"/>
    <n v="1200"/>
  </r>
  <r>
    <s v="ITEM095"/>
    <x v="12"/>
    <x v="3"/>
    <n v="47"/>
    <n v="12"/>
    <x v="0"/>
    <n v="10000"/>
  </r>
  <r>
    <s v="ITEM096"/>
    <x v="11"/>
    <x v="2"/>
    <n v="90"/>
    <n v="21"/>
    <x v="1"/>
    <n v="12000"/>
  </r>
  <r>
    <s v="ITEM097"/>
    <x v="7"/>
    <x v="2"/>
    <n v="16"/>
    <n v="12"/>
    <x v="1"/>
    <n v="3000"/>
  </r>
  <r>
    <s v="ITEM098"/>
    <x v="18"/>
    <x v="2"/>
    <n v="14"/>
    <n v="14"/>
    <x v="2"/>
    <n v="9000"/>
  </r>
  <r>
    <s v="ITEM099"/>
    <x v="15"/>
    <x v="3"/>
    <n v="48"/>
    <n v="9"/>
    <x v="3"/>
    <n v="1200"/>
  </r>
  <r>
    <s v="ITEM100"/>
    <x v="4"/>
    <x v="3"/>
    <n v="100"/>
    <n v="13"/>
    <x v="3"/>
    <n v="2500"/>
  </r>
  <r>
    <s v="ITEM101"/>
    <x v="7"/>
    <x v="2"/>
    <n v="73"/>
    <n v="11"/>
    <x v="3"/>
    <n v="3000"/>
  </r>
  <r>
    <s v="ITEM102"/>
    <x v="0"/>
    <x v="0"/>
    <n v="20"/>
    <n v="10"/>
    <x v="0"/>
    <n v="1800"/>
  </r>
  <r>
    <s v="ITEM103"/>
    <x v="10"/>
    <x v="3"/>
    <n v="83"/>
    <n v="19"/>
    <x v="4"/>
    <n v="2000"/>
  </r>
  <r>
    <s v="ITEM104"/>
    <x v="17"/>
    <x v="1"/>
    <n v="89"/>
    <n v="33"/>
    <x v="4"/>
    <n v="5500"/>
  </r>
  <r>
    <s v="ITEM105"/>
    <x v="17"/>
    <x v="2"/>
    <n v="77"/>
    <n v="13"/>
    <x v="2"/>
    <n v="5500"/>
  </r>
  <r>
    <s v="ITEM106"/>
    <x v="18"/>
    <x v="3"/>
    <n v="84"/>
    <n v="29"/>
    <x v="4"/>
    <n v="9000"/>
  </r>
  <r>
    <s v="ITEM107"/>
    <x v="5"/>
    <x v="2"/>
    <n v="104"/>
    <n v="22"/>
    <x v="3"/>
    <n v="18000"/>
  </r>
  <r>
    <s v="ITEM108"/>
    <x v="16"/>
    <x v="3"/>
    <n v="81"/>
    <n v="28"/>
    <x v="3"/>
    <n v="800"/>
  </r>
  <r>
    <s v="ITEM109"/>
    <x v="14"/>
    <x v="2"/>
    <n v="76"/>
    <n v="33"/>
    <x v="3"/>
    <n v="1000"/>
  </r>
  <r>
    <s v="ITEM110"/>
    <x v="10"/>
    <x v="2"/>
    <n v="45"/>
    <n v="34"/>
    <x v="1"/>
    <n v="2000"/>
  </r>
  <r>
    <s v="ITEM111"/>
    <x v="16"/>
    <x v="0"/>
    <n v="73"/>
    <n v="31"/>
    <x v="3"/>
    <n v="800"/>
  </r>
  <r>
    <s v="ITEM112"/>
    <x v="1"/>
    <x v="2"/>
    <n v="20"/>
    <n v="18"/>
    <x v="3"/>
    <n v="2000"/>
  </r>
  <r>
    <s v="ITEM113"/>
    <x v="1"/>
    <x v="2"/>
    <n v="30"/>
    <n v="17"/>
    <x v="1"/>
    <n v="2000"/>
  </r>
  <r>
    <s v="ITEM114"/>
    <x v="10"/>
    <x v="0"/>
    <n v="104"/>
    <n v="27"/>
    <x v="2"/>
    <n v="2000"/>
  </r>
  <r>
    <s v="ITEM115"/>
    <x v="5"/>
    <x v="0"/>
    <n v="54"/>
    <n v="18"/>
    <x v="2"/>
    <n v="18000"/>
  </r>
  <r>
    <s v="ITEM116"/>
    <x v="11"/>
    <x v="1"/>
    <n v="56"/>
    <n v="5"/>
    <x v="2"/>
    <n v="12000"/>
  </r>
  <r>
    <s v="ITEM117"/>
    <x v="19"/>
    <x v="1"/>
    <n v="92"/>
    <n v="15"/>
    <x v="0"/>
    <n v="1400"/>
  </r>
  <r>
    <s v="ITEM118"/>
    <x v="2"/>
    <x v="0"/>
    <n v="39"/>
    <n v="17"/>
    <x v="3"/>
    <n v="1500"/>
  </r>
  <r>
    <s v="ITEM119"/>
    <x v="8"/>
    <x v="1"/>
    <n v="63"/>
    <n v="12"/>
    <x v="3"/>
    <n v="1500"/>
  </r>
  <r>
    <s v="ITEM120"/>
    <x v="19"/>
    <x v="0"/>
    <n v="105"/>
    <n v="27"/>
    <x v="3"/>
    <n v="1400"/>
  </r>
  <r>
    <s v="ITEM121"/>
    <x v="6"/>
    <x v="3"/>
    <n v="21"/>
    <n v="5"/>
    <x v="2"/>
    <n v="3500"/>
  </r>
  <r>
    <s v="ITEM122"/>
    <x v="4"/>
    <x v="0"/>
    <n v="51"/>
    <n v="8"/>
    <x v="1"/>
    <n v="2500"/>
  </r>
  <r>
    <s v="ITEM123"/>
    <x v="4"/>
    <x v="0"/>
    <n v="71"/>
    <n v="16"/>
    <x v="3"/>
    <n v="2500"/>
  </r>
  <r>
    <s v="ITEM124"/>
    <x v="4"/>
    <x v="2"/>
    <n v="31"/>
    <n v="23"/>
    <x v="2"/>
    <n v="2500"/>
  </r>
  <r>
    <s v="ITEM125"/>
    <x v="16"/>
    <x v="0"/>
    <n v="81"/>
    <n v="19"/>
    <x v="1"/>
    <n v="800"/>
  </r>
  <r>
    <s v="ITEM126"/>
    <x v="15"/>
    <x v="1"/>
    <n v="89"/>
    <n v="17"/>
    <x v="4"/>
    <n v="1200"/>
  </r>
  <r>
    <s v="ITEM127"/>
    <x v="9"/>
    <x v="1"/>
    <n v="107"/>
    <n v="22"/>
    <x v="1"/>
    <n v="17500"/>
  </r>
  <r>
    <s v="ITEM128"/>
    <x v="6"/>
    <x v="2"/>
    <n v="104"/>
    <n v="34"/>
    <x v="2"/>
    <n v="3500"/>
  </r>
  <r>
    <s v="ITEM129"/>
    <x v="19"/>
    <x v="0"/>
    <n v="25"/>
    <n v="8"/>
    <x v="3"/>
    <n v="1400"/>
  </r>
  <r>
    <s v="ITEM130"/>
    <x v="5"/>
    <x v="0"/>
    <n v="58"/>
    <n v="21"/>
    <x v="2"/>
    <n v="18000"/>
  </r>
  <r>
    <s v="ITEM131"/>
    <x v="2"/>
    <x v="2"/>
    <n v="20"/>
    <n v="17"/>
    <x v="4"/>
    <n v="1500"/>
  </r>
  <r>
    <s v="ITEM132"/>
    <x v="6"/>
    <x v="2"/>
    <n v="40"/>
    <n v="15"/>
    <x v="3"/>
    <n v="3500"/>
  </r>
  <r>
    <s v="ITEM133"/>
    <x v="14"/>
    <x v="0"/>
    <n v="50"/>
    <n v="32"/>
    <x v="0"/>
    <n v="1000"/>
  </r>
  <r>
    <s v="ITEM134"/>
    <x v="19"/>
    <x v="2"/>
    <n v="93"/>
    <n v="12"/>
    <x v="4"/>
    <n v="1400"/>
  </r>
  <r>
    <s v="ITEM135"/>
    <x v="14"/>
    <x v="2"/>
    <n v="38"/>
    <n v="9"/>
    <x v="2"/>
    <n v="1000"/>
  </r>
  <r>
    <s v="ITEM136"/>
    <x v="6"/>
    <x v="2"/>
    <n v="39"/>
    <n v="20"/>
    <x v="0"/>
    <n v="3500"/>
  </r>
  <r>
    <s v="ITEM137"/>
    <x v="15"/>
    <x v="0"/>
    <n v="11"/>
    <n v="14"/>
    <x v="0"/>
    <n v="1200"/>
  </r>
  <r>
    <s v="ITEM138"/>
    <x v="17"/>
    <x v="0"/>
    <n v="87"/>
    <n v="24"/>
    <x v="1"/>
    <n v="5500"/>
  </r>
  <r>
    <s v="ITEM139"/>
    <x v="4"/>
    <x v="0"/>
    <n v="33"/>
    <n v="20"/>
    <x v="2"/>
    <n v="2500"/>
  </r>
  <r>
    <s v="ITEM140"/>
    <x v="19"/>
    <x v="1"/>
    <n v="32"/>
    <n v="22"/>
    <x v="4"/>
    <n v="1400"/>
  </r>
  <r>
    <s v="ITEM141"/>
    <x v="1"/>
    <x v="0"/>
    <n v="92"/>
    <n v="18"/>
    <x v="4"/>
    <n v="2000"/>
  </r>
  <r>
    <s v="ITEM142"/>
    <x v="8"/>
    <x v="0"/>
    <n v="108"/>
    <n v="34"/>
    <x v="1"/>
    <n v="1500"/>
  </r>
  <r>
    <s v="ITEM143"/>
    <x v="17"/>
    <x v="2"/>
    <n v="75"/>
    <n v="13"/>
    <x v="3"/>
    <n v="5500"/>
  </r>
  <r>
    <s v="ITEM144"/>
    <x v="6"/>
    <x v="0"/>
    <n v="79"/>
    <n v="17"/>
    <x v="1"/>
    <n v="3500"/>
  </r>
  <r>
    <s v="ITEM145"/>
    <x v="19"/>
    <x v="3"/>
    <n v="39"/>
    <n v="5"/>
    <x v="4"/>
    <n v="1400"/>
  </r>
  <r>
    <s v="ITEM146"/>
    <x v="14"/>
    <x v="3"/>
    <n v="50"/>
    <n v="21"/>
    <x v="2"/>
    <n v="1000"/>
  </r>
  <r>
    <s v="ITEM147"/>
    <x v="1"/>
    <x v="2"/>
    <n v="16"/>
    <n v="20"/>
    <x v="4"/>
    <n v="2000"/>
  </r>
  <r>
    <s v="ITEM148"/>
    <x v="12"/>
    <x v="3"/>
    <n v="101"/>
    <n v="16"/>
    <x v="2"/>
    <n v="10000"/>
  </r>
  <r>
    <s v="ITEM149"/>
    <x v="6"/>
    <x v="2"/>
    <n v="61"/>
    <n v="34"/>
    <x v="2"/>
    <n v="3500"/>
  </r>
  <r>
    <s v="ITEM150"/>
    <x v="1"/>
    <x v="3"/>
    <n v="68"/>
    <n v="23"/>
    <x v="3"/>
    <n v="2000"/>
  </r>
  <r>
    <s v="ITEM151"/>
    <x v="11"/>
    <x v="3"/>
    <n v="34"/>
    <n v="9"/>
    <x v="2"/>
    <n v="12000"/>
  </r>
  <r>
    <s v="ITEM152"/>
    <x v="7"/>
    <x v="1"/>
    <n v="68"/>
    <n v="18"/>
    <x v="2"/>
    <n v="3000"/>
  </r>
  <r>
    <s v="ITEM153"/>
    <x v="9"/>
    <x v="2"/>
    <n v="11"/>
    <n v="18"/>
    <x v="3"/>
    <n v="17500"/>
  </r>
  <r>
    <s v="ITEM154"/>
    <x v="6"/>
    <x v="0"/>
    <n v="43"/>
    <n v="15"/>
    <x v="3"/>
    <n v="3500"/>
  </r>
  <r>
    <s v="ITEM155"/>
    <x v="7"/>
    <x v="1"/>
    <n v="92"/>
    <n v="33"/>
    <x v="0"/>
    <n v="3000"/>
  </r>
  <r>
    <s v="ITEM156"/>
    <x v="14"/>
    <x v="3"/>
    <n v="81"/>
    <n v="22"/>
    <x v="1"/>
    <n v="1000"/>
  </r>
  <r>
    <s v="ITEM157"/>
    <x v="6"/>
    <x v="1"/>
    <n v="40"/>
    <n v="9"/>
    <x v="4"/>
    <n v="3500"/>
  </r>
  <r>
    <s v="ITEM158"/>
    <x v="15"/>
    <x v="0"/>
    <n v="49"/>
    <n v="24"/>
    <x v="4"/>
    <n v="1200"/>
  </r>
  <r>
    <s v="ITEM159"/>
    <x v="13"/>
    <x v="0"/>
    <n v="51"/>
    <n v="10"/>
    <x v="1"/>
    <n v="4500"/>
  </r>
  <r>
    <s v="ITEM160"/>
    <x v="10"/>
    <x v="0"/>
    <n v="72"/>
    <n v="5"/>
    <x v="2"/>
    <n v="2000"/>
  </r>
  <r>
    <s v="ITEM161"/>
    <x v="9"/>
    <x v="2"/>
    <n v="103"/>
    <n v="11"/>
    <x v="1"/>
    <n v="17500"/>
  </r>
  <r>
    <s v="ITEM162"/>
    <x v="3"/>
    <x v="0"/>
    <n v="98"/>
    <n v="32"/>
    <x v="3"/>
    <n v="11500"/>
  </r>
  <r>
    <s v="ITEM163"/>
    <x v="4"/>
    <x v="2"/>
    <n v="83"/>
    <n v="16"/>
    <x v="3"/>
    <n v="2500"/>
  </r>
  <r>
    <s v="ITEM164"/>
    <x v="7"/>
    <x v="2"/>
    <n v="45"/>
    <n v="7"/>
    <x v="4"/>
    <n v="3000"/>
  </r>
  <r>
    <s v="ITEM165"/>
    <x v="9"/>
    <x v="0"/>
    <n v="74"/>
    <n v="30"/>
    <x v="2"/>
    <n v="17500"/>
  </r>
  <r>
    <s v="ITEM166"/>
    <x v="11"/>
    <x v="2"/>
    <n v="89"/>
    <n v="22"/>
    <x v="4"/>
    <n v="12000"/>
  </r>
  <r>
    <s v="ITEM167"/>
    <x v="11"/>
    <x v="0"/>
    <n v="101"/>
    <n v="24"/>
    <x v="3"/>
    <n v="12000"/>
  </r>
  <r>
    <s v="ITEM168"/>
    <x v="9"/>
    <x v="1"/>
    <n v="32"/>
    <n v="32"/>
    <x v="0"/>
    <n v="17500"/>
  </r>
  <r>
    <s v="ITEM169"/>
    <x v="0"/>
    <x v="0"/>
    <n v="91"/>
    <n v="22"/>
    <x v="0"/>
    <n v="1800"/>
  </r>
  <r>
    <s v="ITEM170"/>
    <x v="18"/>
    <x v="1"/>
    <n v="26"/>
    <n v="14"/>
    <x v="3"/>
    <n v="9000"/>
  </r>
  <r>
    <s v="ITEM171"/>
    <x v="19"/>
    <x v="1"/>
    <n v="104"/>
    <n v="34"/>
    <x v="1"/>
    <n v="1400"/>
  </r>
  <r>
    <s v="ITEM172"/>
    <x v="4"/>
    <x v="1"/>
    <n v="14"/>
    <n v="32"/>
    <x v="4"/>
    <n v="2500"/>
  </r>
  <r>
    <s v="ITEM173"/>
    <x v="3"/>
    <x v="1"/>
    <n v="47"/>
    <n v="11"/>
    <x v="2"/>
    <n v="11500"/>
  </r>
  <r>
    <s v="ITEM174"/>
    <x v="0"/>
    <x v="1"/>
    <n v="96"/>
    <n v="28"/>
    <x v="1"/>
    <n v="1800"/>
  </r>
  <r>
    <s v="ITEM175"/>
    <x v="15"/>
    <x v="2"/>
    <n v="78"/>
    <n v="5"/>
    <x v="2"/>
    <n v="1200"/>
  </r>
  <r>
    <s v="ITEM176"/>
    <x v="12"/>
    <x v="3"/>
    <n v="92"/>
    <n v="8"/>
    <x v="3"/>
    <n v="10000"/>
  </r>
  <r>
    <s v="ITEM177"/>
    <x v="5"/>
    <x v="3"/>
    <n v="34"/>
    <n v="11"/>
    <x v="2"/>
    <n v="18000"/>
  </r>
  <r>
    <s v="ITEM178"/>
    <x v="14"/>
    <x v="3"/>
    <n v="100"/>
    <n v="32"/>
    <x v="4"/>
    <n v="1000"/>
  </r>
  <r>
    <s v="ITEM179"/>
    <x v="14"/>
    <x v="3"/>
    <n v="38"/>
    <n v="13"/>
    <x v="0"/>
    <n v="1000"/>
  </r>
  <r>
    <s v="ITEM180"/>
    <x v="8"/>
    <x v="2"/>
    <n v="41"/>
    <n v="28"/>
    <x v="0"/>
    <n v="1500"/>
  </r>
  <r>
    <s v="ITEM181"/>
    <x v="6"/>
    <x v="1"/>
    <n v="34"/>
    <n v="22"/>
    <x v="0"/>
    <n v="3500"/>
  </r>
  <r>
    <s v="ITEM182"/>
    <x v="1"/>
    <x v="2"/>
    <n v="43"/>
    <n v="21"/>
    <x v="3"/>
    <n v="2000"/>
  </r>
  <r>
    <s v="ITEM183"/>
    <x v="2"/>
    <x v="3"/>
    <n v="25"/>
    <n v="9"/>
    <x v="3"/>
    <n v="1500"/>
  </r>
  <r>
    <s v="ITEM184"/>
    <x v="15"/>
    <x v="0"/>
    <n v="97"/>
    <n v="22"/>
    <x v="1"/>
    <n v="1200"/>
  </r>
  <r>
    <s v="ITEM185"/>
    <x v="11"/>
    <x v="1"/>
    <n v="19"/>
    <n v="17"/>
    <x v="3"/>
    <n v="12000"/>
  </r>
  <r>
    <s v="ITEM186"/>
    <x v="9"/>
    <x v="0"/>
    <n v="109"/>
    <n v="31"/>
    <x v="2"/>
    <n v="17500"/>
  </r>
  <r>
    <s v="ITEM187"/>
    <x v="19"/>
    <x v="3"/>
    <n v="75"/>
    <n v="32"/>
    <x v="3"/>
    <n v="1400"/>
  </r>
  <r>
    <s v="ITEM188"/>
    <x v="3"/>
    <x v="3"/>
    <n v="83"/>
    <n v="33"/>
    <x v="0"/>
    <n v="11500"/>
  </r>
  <r>
    <s v="ITEM189"/>
    <x v="9"/>
    <x v="3"/>
    <n v="71"/>
    <n v="10"/>
    <x v="0"/>
    <n v="17500"/>
  </r>
  <r>
    <s v="ITEM190"/>
    <x v="11"/>
    <x v="0"/>
    <n v="13"/>
    <n v="5"/>
    <x v="0"/>
    <n v="12000"/>
  </r>
  <r>
    <s v="ITEM191"/>
    <x v="9"/>
    <x v="2"/>
    <n v="15"/>
    <n v="33"/>
    <x v="3"/>
    <n v="17500"/>
  </r>
  <r>
    <s v="ITEM192"/>
    <x v="4"/>
    <x v="0"/>
    <n v="60"/>
    <n v="34"/>
    <x v="4"/>
    <n v="2500"/>
  </r>
  <r>
    <s v="ITEM193"/>
    <x v="17"/>
    <x v="2"/>
    <n v="78"/>
    <n v="9"/>
    <x v="0"/>
    <n v="5500"/>
  </r>
  <r>
    <s v="ITEM194"/>
    <x v="12"/>
    <x v="1"/>
    <n v="102"/>
    <n v="5"/>
    <x v="4"/>
    <n v="10000"/>
  </r>
  <r>
    <s v="ITEM195"/>
    <x v="1"/>
    <x v="2"/>
    <n v="57"/>
    <n v="6"/>
    <x v="3"/>
    <n v="2000"/>
  </r>
  <r>
    <s v="ITEM196"/>
    <x v="19"/>
    <x v="1"/>
    <n v="28"/>
    <n v="13"/>
    <x v="0"/>
    <n v="1400"/>
  </r>
  <r>
    <s v="ITEM197"/>
    <x v="16"/>
    <x v="3"/>
    <n v="96"/>
    <n v="23"/>
    <x v="4"/>
    <n v="800"/>
  </r>
  <r>
    <s v="ITEM198"/>
    <x v="15"/>
    <x v="2"/>
    <n v="14"/>
    <n v="13"/>
    <x v="1"/>
    <n v="1200"/>
  </r>
  <r>
    <s v="ITEM199"/>
    <x v="5"/>
    <x v="3"/>
    <n v="51"/>
    <n v="11"/>
    <x v="3"/>
    <n v="18000"/>
  </r>
  <r>
    <s v="ITEM200"/>
    <x v="14"/>
    <x v="1"/>
    <n v="96"/>
    <n v="20"/>
    <x v="2"/>
    <n v="1000"/>
  </r>
  <r>
    <s v="ITEM201"/>
    <x v="10"/>
    <x v="2"/>
    <n v="28"/>
    <n v="34"/>
    <x v="2"/>
    <n v="2000"/>
  </r>
  <r>
    <s v="ITEM202"/>
    <x v="11"/>
    <x v="1"/>
    <n v="27"/>
    <n v="8"/>
    <x v="3"/>
    <n v="12000"/>
  </r>
  <r>
    <s v="ITEM203"/>
    <x v="12"/>
    <x v="2"/>
    <n v="87"/>
    <n v="22"/>
    <x v="0"/>
    <n v="10000"/>
  </r>
  <r>
    <s v="ITEM204"/>
    <x v="14"/>
    <x v="2"/>
    <n v="66"/>
    <n v="12"/>
    <x v="4"/>
    <n v="1000"/>
  </r>
  <r>
    <s v="ITEM205"/>
    <x v="18"/>
    <x v="3"/>
    <n v="91"/>
    <n v="6"/>
    <x v="2"/>
    <n v="9000"/>
  </r>
  <r>
    <s v="ITEM206"/>
    <x v="13"/>
    <x v="3"/>
    <n v="88"/>
    <n v="34"/>
    <x v="0"/>
    <n v="4500"/>
  </r>
  <r>
    <s v="ITEM207"/>
    <x v="4"/>
    <x v="3"/>
    <n v="96"/>
    <n v="21"/>
    <x v="2"/>
    <n v="2500"/>
  </r>
  <r>
    <s v="ITEM208"/>
    <x v="18"/>
    <x v="3"/>
    <n v="89"/>
    <n v="16"/>
    <x v="2"/>
    <n v="9000"/>
  </r>
  <r>
    <s v="ITEM209"/>
    <x v="7"/>
    <x v="3"/>
    <n v="12"/>
    <n v="8"/>
    <x v="2"/>
    <n v="3000"/>
  </r>
  <r>
    <s v="ITEM210"/>
    <x v="0"/>
    <x v="2"/>
    <n v="35"/>
    <n v="25"/>
    <x v="1"/>
    <n v="1800"/>
  </r>
  <r>
    <s v="ITEM211"/>
    <x v="18"/>
    <x v="0"/>
    <n v="81"/>
    <n v="22"/>
    <x v="4"/>
    <n v="9000"/>
  </r>
  <r>
    <s v="ITEM212"/>
    <x v="0"/>
    <x v="0"/>
    <n v="34"/>
    <n v="19"/>
    <x v="4"/>
    <n v="1800"/>
  </r>
  <r>
    <s v="ITEM213"/>
    <x v="5"/>
    <x v="1"/>
    <n v="54"/>
    <n v="18"/>
    <x v="3"/>
    <n v="18000"/>
  </r>
  <r>
    <s v="ITEM214"/>
    <x v="18"/>
    <x v="3"/>
    <n v="104"/>
    <n v="24"/>
    <x v="3"/>
    <n v="9000"/>
  </r>
  <r>
    <s v="ITEM215"/>
    <x v="5"/>
    <x v="2"/>
    <n v="37"/>
    <n v="32"/>
    <x v="1"/>
    <n v="18000"/>
  </r>
  <r>
    <s v="ITEM216"/>
    <x v="14"/>
    <x v="3"/>
    <n v="34"/>
    <n v="26"/>
    <x v="0"/>
    <n v="1000"/>
  </r>
  <r>
    <s v="ITEM217"/>
    <x v="0"/>
    <x v="1"/>
    <n v="40"/>
    <n v="30"/>
    <x v="4"/>
    <n v="1800"/>
  </r>
  <r>
    <s v="ITEM218"/>
    <x v="14"/>
    <x v="0"/>
    <n v="94"/>
    <n v="19"/>
    <x v="3"/>
    <n v="1000"/>
  </r>
  <r>
    <s v="ITEM219"/>
    <x v="7"/>
    <x v="3"/>
    <n v="66"/>
    <n v="21"/>
    <x v="3"/>
    <n v="3000"/>
  </r>
  <r>
    <s v="ITEM220"/>
    <x v="5"/>
    <x v="3"/>
    <n v="90"/>
    <n v="25"/>
    <x v="1"/>
    <n v="18000"/>
  </r>
  <r>
    <s v="ITEM221"/>
    <x v="10"/>
    <x v="3"/>
    <n v="98"/>
    <n v="6"/>
    <x v="4"/>
    <n v="2000"/>
  </r>
  <r>
    <s v="ITEM222"/>
    <x v="18"/>
    <x v="1"/>
    <n v="90"/>
    <n v="33"/>
    <x v="4"/>
    <n v="9000"/>
  </r>
  <r>
    <s v="ITEM223"/>
    <x v="12"/>
    <x v="2"/>
    <n v="20"/>
    <n v="12"/>
    <x v="3"/>
    <n v="10000"/>
  </r>
  <r>
    <s v="ITEM224"/>
    <x v="2"/>
    <x v="1"/>
    <n v="76"/>
    <n v="34"/>
    <x v="1"/>
    <n v="1500"/>
  </r>
  <r>
    <s v="ITEM225"/>
    <x v="6"/>
    <x v="2"/>
    <n v="98"/>
    <n v="29"/>
    <x v="4"/>
    <n v="3500"/>
  </r>
  <r>
    <s v="ITEM226"/>
    <x v="14"/>
    <x v="0"/>
    <n v="39"/>
    <n v="12"/>
    <x v="2"/>
    <n v="1000"/>
  </r>
  <r>
    <s v="ITEM227"/>
    <x v="3"/>
    <x v="1"/>
    <n v="78"/>
    <n v="21"/>
    <x v="0"/>
    <n v="11500"/>
  </r>
  <r>
    <s v="ITEM228"/>
    <x v="14"/>
    <x v="1"/>
    <n v="61"/>
    <n v="34"/>
    <x v="4"/>
    <n v="1000"/>
  </r>
  <r>
    <s v="ITEM229"/>
    <x v="13"/>
    <x v="2"/>
    <n v="38"/>
    <n v="20"/>
    <x v="2"/>
    <n v="4500"/>
  </r>
  <r>
    <s v="ITEM230"/>
    <x v="3"/>
    <x v="2"/>
    <n v="61"/>
    <n v="28"/>
    <x v="0"/>
    <n v="11500"/>
  </r>
  <r>
    <s v="ITEM231"/>
    <x v="15"/>
    <x v="0"/>
    <n v="96"/>
    <n v="24"/>
    <x v="0"/>
    <n v="1200"/>
  </r>
  <r>
    <s v="ITEM232"/>
    <x v="11"/>
    <x v="0"/>
    <n v="68"/>
    <n v="26"/>
    <x v="3"/>
    <n v="12000"/>
  </r>
  <r>
    <s v="ITEM233"/>
    <x v="16"/>
    <x v="3"/>
    <n v="61"/>
    <n v="23"/>
    <x v="3"/>
    <n v="800"/>
  </r>
  <r>
    <s v="ITEM234"/>
    <x v="0"/>
    <x v="3"/>
    <n v="83"/>
    <n v="25"/>
    <x v="2"/>
    <n v="1800"/>
  </r>
  <r>
    <s v="ITEM235"/>
    <x v="3"/>
    <x v="2"/>
    <n v="40"/>
    <n v="18"/>
    <x v="2"/>
    <n v="11500"/>
  </r>
  <r>
    <s v="ITEM236"/>
    <x v="17"/>
    <x v="1"/>
    <n v="90"/>
    <n v="25"/>
    <x v="3"/>
    <n v="5500"/>
  </r>
  <r>
    <s v="ITEM237"/>
    <x v="2"/>
    <x v="2"/>
    <n v="105"/>
    <n v="9"/>
    <x v="2"/>
    <n v="1500"/>
  </r>
  <r>
    <s v="ITEM238"/>
    <x v="10"/>
    <x v="3"/>
    <n v="45"/>
    <n v="17"/>
    <x v="4"/>
    <n v="2000"/>
  </r>
  <r>
    <s v="ITEM239"/>
    <x v="10"/>
    <x v="3"/>
    <n v="41"/>
    <n v="17"/>
    <x v="2"/>
    <n v="2000"/>
  </r>
  <r>
    <s v="ITEM240"/>
    <x v="3"/>
    <x v="3"/>
    <n v="84"/>
    <n v="17"/>
    <x v="3"/>
    <n v="11500"/>
  </r>
  <r>
    <s v="ITEM241"/>
    <x v="3"/>
    <x v="2"/>
    <n v="88"/>
    <n v="27"/>
    <x v="0"/>
    <n v="11500"/>
  </r>
  <r>
    <s v="ITEM242"/>
    <x v="0"/>
    <x v="1"/>
    <n v="45"/>
    <n v="23"/>
    <x v="1"/>
    <n v="1800"/>
  </r>
  <r>
    <s v="ITEM243"/>
    <x v="3"/>
    <x v="3"/>
    <n v="11"/>
    <n v="19"/>
    <x v="1"/>
    <n v="11500"/>
  </r>
  <r>
    <s v="ITEM244"/>
    <x v="8"/>
    <x v="3"/>
    <n v="35"/>
    <n v="10"/>
    <x v="3"/>
    <n v="1500"/>
  </r>
  <r>
    <s v="ITEM245"/>
    <x v="8"/>
    <x v="0"/>
    <n v="39"/>
    <n v="19"/>
    <x v="1"/>
    <n v="1500"/>
  </r>
  <r>
    <s v="ITEM246"/>
    <x v="0"/>
    <x v="0"/>
    <n v="66"/>
    <n v="19"/>
    <x v="1"/>
    <n v="1800"/>
  </r>
  <r>
    <s v="ITEM247"/>
    <x v="3"/>
    <x v="2"/>
    <n v="99"/>
    <n v="28"/>
    <x v="3"/>
    <n v="11500"/>
  </r>
  <r>
    <s v="ITEM248"/>
    <x v="8"/>
    <x v="3"/>
    <n v="10"/>
    <n v="18"/>
    <x v="3"/>
    <n v="1500"/>
  </r>
  <r>
    <s v="ITEM249"/>
    <x v="6"/>
    <x v="1"/>
    <n v="33"/>
    <n v="5"/>
    <x v="1"/>
    <n v="3500"/>
  </r>
  <r>
    <s v="ITEM250"/>
    <x v="2"/>
    <x v="0"/>
    <n v="78"/>
    <n v="29"/>
    <x v="3"/>
    <n v="1500"/>
  </r>
  <r>
    <s v="ITEM251"/>
    <x v="11"/>
    <x v="1"/>
    <n v="13"/>
    <n v="28"/>
    <x v="4"/>
    <n v="12000"/>
  </r>
  <r>
    <s v="ITEM252"/>
    <x v="18"/>
    <x v="0"/>
    <n v="45"/>
    <n v="11"/>
    <x v="2"/>
    <n v="9000"/>
  </r>
  <r>
    <s v="ITEM253"/>
    <x v="9"/>
    <x v="0"/>
    <n v="32"/>
    <n v="24"/>
    <x v="2"/>
    <n v="17500"/>
  </r>
  <r>
    <s v="ITEM254"/>
    <x v="2"/>
    <x v="1"/>
    <n v="11"/>
    <n v="16"/>
    <x v="3"/>
    <n v="1500"/>
  </r>
  <r>
    <s v="ITEM255"/>
    <x v="15"/>
    <x v="0"/>
    <n v="84"/>
    <n v="13"/>
    <x v="1"/>
    <n v="1200"/>
  </r>
  <r>
    <s v="ITEM256"/>
    <x v="9"/>
    <x v="3"/>
    <n v="27"/>
    <n v="22"/>
    <x v="0"/>
    <n v="17500"/>
  </r>
  <r>
    <s v="ITEM257"/>
    <x v="12"/>
    <x v="2"/>
    <n v="31"/>
    <n v="21"/>
    <x v="1"/>
    <n v="10000"/>
  </r>
  <r>
    <s v="ITEM258"/>
    <x v="6"/>
    <x v="2"/>
    <n v="100"/>
    <n v="10"/>
    <x v="4"/>
    <n v="3500"/>
  </r>
  <r>
    <s v="ITEM259"/>
    <x v="5"/>
    <x v="1"/>
    <n v="108"/>
    <n v="15"/>
    <x v="4"/>
    <n v="18000"/>
  </r>
  <r>
    <s v="ITEM260"/>
    <x v="4"/>
    <x v="3"/>
    <n v="60"/>
    <n v="32"/>
    <x v="0"/>
    <n v="2500"/>
  </r>
  <r>
    <s v="ITEM261"/>
    <x v="4"/>
    <x v="3"/>
    <n v="11"/>
    <n v="33"/>
    <x v="0"/>
    <n v="2500"/>
  </r>
  <r>
    <s v="ITEM262"/>
    <x v="1"/>
    <x v="0"/>
    <n v="88"/>
    <n v="32"/>
    <x v="0"/>
    <n v="2000"/>
  </r>
  <r>
    <s v="ITEM263"/>
    <x v="13"/>
    <x v="1"/>
    <n v="88"/>
    <n v="24"/>
    <x v="2"/>
    <n v="4500"/>
  </r>
  <r>
    <s v="ITEM264"/>
    <x v="0"/>
    <x v="0"/>
    <n v="33"/>
    <n v="23"/>
    <x v="3"/>
    <n v="1800"/>
  </r>
  <r>
    <s v="ITEM265"/>
    <x v="6"/>
    <x v="0"/>
    <n v="79"/>
    <n v="28"/>
    <x v="1"/>
    <n v="3500"/>
  </r>
  <r>
    <s v="ITEM266"/>
    <x v="16"/>
    <x v="2"/>
    <n v="62"/>
    <n v="8"/>
    <x v="3"/>
    <n v="800"/>
  </r>
  <r>
    <s v="ITEM267"/>
    <x v="9"/>
    <x v="3"/>
    <n v="95"/>
    <n v="13"/>
    <x v="3"/>
    <n v="17500"/>
  </r>
  <r>
    <s v="ITEM268"/>
    <x v="17"/>
    <x v="2"/>
    <n v="23"/>
    <n v="32"/>
    <x v="2"/>
    <n v="5500"/>
  </r>
  <r>
    <s v="ITEM269"/>
    <x v="9"/>
    <x v="2"/>
    <n v="15"/>
    <n v="21"/>
    <x v="2"/>
    <n v="17500"/>
  </r>
  <r>
    <s v="ITEM270"/>
    <x v="18"/>
    <x v="2"/>
    <n v="108"/>
    <n v="32"/>
    <x v="2"/>
    <n v="9000"/>
  </r>
  <r>
    <s v="ITEM271"/>
    <x v="5"/>
    <x v="1"/>
    <n v="97"/>
    <n v="28"/>
    <x v="0"/>
    <n v="18000"/>
  </r>
  <r>
    <s v="ITEM272"/>
    <x v="1"/>
    <x v="3"/>
    <n v="65"/>
    <n v="6"/>
    <x v="4"/>
    <n v="2000"/>
  </r>
  <r>
    <s v="ITEM273"/>
    <x v="12"/>
    <x v="0"/>
    <n v="84"/>
    <n v="8"/>
    <x v="3"/>
    <n v="10000"/>
  </r>
  <r>
    <s v="ITEM274"/>
    <x v="4"/>
    <x v="2"/>
    <n v="10"/>
    <n v="10"/>
    <x v="0"/>
    <n v="2500"/>
  </r>
  <r>
    <s v="ITEM275"/>
    <x v="3"/>
    <x v="2"/>
    <n v="11"/>
    <n v="33"/>
    <x v="2"/>
    <n v="11500"/>
  </r>
  <r>
    <s v="ITEM276"/>
    <x v="1"/>
    <x v="3"/>
    <n v="19"/>
    <n v="30"/>
    <x v="3"/>
    <n v="2000"/>
  </r>
  <r>
    <s v="ITEM277"/>
    <x v="16"/>
    <x v="0"/>
    <n v="45"/>
    <n v="27"/>
    <x v="2"/>
    <n v="800"/>
  </r>
  <r>
    <s v="ITEM278"/>
    <x v="2"/>
    <x v="0"/>
    <n v="84"/>
    <n v="25"/>
    <x v="2"/>
    <n v="1500"/>
  </r>
  <r>
    <s v="ITEM279"/>
    <x v="18"/>
    <x v="0"/>
    <n v="82"/>
    <n v="23"/>
    <x v="4"/>
    <n v="9000"/>
  </r>
  <r>
    <s v="ITEM280"/>
    <x v="4"/>
    <x v="0"/>
    <n v="94"/>
    <n v="31"/>
    <x v="2"/>
    <n v="2500"/>
  </r>
  <r>
    <s v="ITEM281"/>
    <x v="5"/>
    <x v="0"/>
    <n v="39"/>
    <n v="16"/>
    <x v="4"/>
    <n v="18000"/>
  </r>
  <r>
    <s v="ITEM282"/>
    <x v="10"/>
    <x v="3"/>
    <n v="12"/>
    <n v="16"/>
    <x v="4"/>
    <n v="2000"/>
  </r>
  <r>
    <s v="ITEM283"/>
    <x v="12"/>
    <x v="0"/>
    <n v="81"/>
    <n v="20"/>
    <x v="1"/>
    <n v="10000"/>
  </r>
  <r>
    <s v="ITEM284"/>
    <x v="0"/>
    <x v="2"/>
    <n v="48"/>
    <n v="28"/>
    <x v="3"/>
    <n v="1800"/>
  </r>
  <r>
    <s v="ITEM285"/>
    <x v="9"/>
    <x v="0"/>
    <n v="26"/>
    <n v="23"/>
    <x v="4"/>
    <n v="17500"/>
  </r>
  <r>
    <s v="ITEM286"/>
    <x v="18"/>
    <x v="2"/>
    <n v="57"/>
    <n v="6"/>
    <x v="4"/>
    <n v="9000"/>
  </r>
  <r>
    <s v="ITEM287"/>
    <x v="15"/>
    <x v="1"/>
    <n v="48"/>
    <n v="14"/>
    <x v="2"/>
    <n v="1200"/>
  </r>
  <r>
    <s v="ITEM288"/>
    <x v="19"/>
    <x v="1"/>
    <n v="54"/>
    <n v="19"/>
    <x v="4"/>
    <n v="1400"/>
  </r>
  <r>
    <s v="ITEM289"/>
    <x v="7"/>
    <x v="0"/>
    <n v="13"/>
    <n v="25"/>
    <x v="0"/>
    <n v="3000"/>
  </r>
  <r>
    <s v="ITEM290"/>
    <x v="16"/>
    <x v="0"/>
    <n v="104"/>
    <n v="13"/>
    <x v="2"/>
    <n v="800"/>
  </r>
  <r>
    <s v="ITEM291"/>
    <x v="11"/>
    <x v="2"/>
    <n v="72"/>
    <n v="32"/>
    <x v="4"/>
    <n v="12000"/>
  </r>
  <r>
    <s v="ITEM292"/>
    <x v="15"/>
    <x v="0"/>
    <n v="63"/>
    <n v="29"/>
    <x v="0"/>
    <n v="1200"/>
  </r>
  <r>
    <s v="ITEM293"/>
    <x v="14"/>
    <x v="2"/>
    <n v="58"/>
    <n v="28"/>
    <x v="2"/>
    <n v="1000"/>
  </r>
  <r>
    <s v="ITEM294"/>
    <x v="11"/>
    <x v="3"/>
    <n v="103"/>
    <n v="17"/>
    <x v="1"/>
    <n v="12000"/>
  </r>
  <r>
    <s v="ITEM295"/>
    <x v="5"/>
    <x v="2"/>
    <n v="33"/>
    <n v="13"/>
    <x v="1"/>
    <n v="18000"/>
  </r>
  <r>
    <s v="ITEM296"/>
    <x v="0"/>
    <x v="0"/>
    <n v="54"/>
    <n v="5"/>
    <x v="1"/>
    <n v="1800"/>
  </r>
  <r>
    <s v="ITEM297"/>
    <x v="15"/>
    <x v="2"/>
    <n v="92"/>
    <n v="21"/>
    <x v="4"/>
    <n v="1200"/>
  </r>
  <r>
    <s v="ITEM298"/>
    <x v="3"/>
    <x v="2"/>
    <n v="35"/>
    <n v="30"/>
    <x v="3"/>
    <n v="11500"/>
  </r>
  <r>
    <s v="ITEM299"/>
    <x v="1"/>
    <x v="3"/>
    <n v="98"/>
    <n v="13"/>
    <x v="2"/>
    <n v="2000"/>
  </r>
  <r>
    <s v="ITEM300"/>
    <x v="11"/>
    <x v="1"/>
    <n v="49"/>
    <n v="13"/>
    <x v="2"/>
    <n v="12000"/>
  </r>
  <r>
    <s v="ITEM301"/>
    <x v="13"/>
    <x v="2"/>
    <n v="11"/>
    <n v="21"/>
    <x v="0"/>
    <n v="4500"/>
  </r>
  <r>
    <s v="ITEM302"/>
    <x v="14"/>
    <x v="1"/>
    <n v="12"/>
    <n v="8"/>
    <x v="3"/>
    <n v="1000"/>
  </r>
  <r>
    <s v="ITEM303"/>
    <x v="14"/>
    <x v="3"/>
    <n v="73"/>
    <n v="33"/>
    <x v="3"/>
    <n v="1000"/>
  </r>
  <r>
    <s v="ITEM304"/>
    <x v="0"/>
    <x v="1"/>
    <n v="65"/>
    <n v="25"/>
    <x v="0"/>
    <n v="1800"/>
  </r>
  <r>
    <s v="ITEM305"/>
    <x v="19"/>
    <x v="1"/>
    <n v="92"/>
    <n v="21"/>
    <x v="3"/>
    <n v="1400"/>
  </r>
  <r>
    <s v="ITEM306"/>
    <x v="4"/>
    <x v="3"/>
    <n v="10"/>
    <n v="24"/>
    <x v="2"/>
    <n v="2500"/>
  </r>
  <r>
    <s v="ITEM307"/>
    <x v="4"/>
    <x v="3"/>
    <n v="99"/>
    <n v="27"/>
    <x v="0"/>
    <n v="2500"/>
  </r>
  <r>
    <s v="ITEM308"/>
    <x v="8"/>
    <x v="2"/>
    <n v="50"/>
    <n v="11"/>
    <x v="2"/>
    <n v="1500"/>
  </r>
  <r>
    <s v="ITEM309"/>
    <x v="15"/>
    <x v="1"/>
    <n v="19"/>
    <n v="9"/>
    <x v="4"/>
    <n v="1200"/>
  </r>
  <r>
    <s v="ITEM310"/>
    <x v="15"/>
    <x v="1"/>
    <n v="44"/>
    <n v="22"/>
    <x v="2"/>
    <n v="1200"/>
  </r>
  <r>
    <s v="ITEM311"/>
    <x v="3"/>
    <x v="0"/>
    <n v="60"/>
    <n v="7"/>
    <x v="1"/>
    <n v="11500"/>
  </r>
  <r>
    <s v="ITEM312"/>
    <x v="11"/>
    <x v="0"/>
    <n v="29"/>
    <n v="7"/>
    <x v="0"/>
    <n v="12000"/>
  </r>
  <r>
    <s v="ITEM313"/>
    <x v="10"/>
    <x v="3"/>
    <n v="70"/>
    <n v="19"/>
    <x v="3"/>
    <n v="2000"/>
  </r>
  <r>
    <s v="ITEM314"/>
    <x v="7"/>
    <x v="0"/>
    <n v="91"/>
    <n v="29"/>
    <x v="4"/>
    <n v="3000"/>
  </r>
  <r>
    <s v="ITEM315"/>
    <x v="7"/>
    <x v="0"/>
    <n v="24"/>
    <n v="27"/>
    <x v="2"/>
    <n v="3000"/>
  </r>
  <r>
    <s v="ITEM316"/>
    <x v="2"/>
    <x v="3"/>
    <n v="94"/>
    <n v="9"/>
    <x v="2"/>
    <n v="1500"/>
  </r>
  <r>
    <s v="ITEM317"/>
    <x v="15"/>
    <x v="1"/>
    <n v="28"/>
    <n v="7"/>
    <x v="0"/>
    <n v="1200"/>
  </r>
  <r>
    <s v="ITEM318"/>
    <x v="11"/>
    <x v="3"/>
    <n v="107"/>
    <n v="8"/>
    <x v="3"/>
    <n v="12000"/>
  </r>
  <r>
    <s v="ITEM319"/>
    <x v="4"/>
    <x v="2"/>
    <n v="93"/>
    <n v="12"/>
    <x v="4"/>
    <n v="2500"/>
  </r>
  <r>
    <s v="ITEM320"/>
    <x v="14"/>
    <x v="2"/>
    <n v="54"/>
    <n v="10"/>
    <x v="4"/>
    <n v="1000"/>
  </r>
  <r>
    <s v="ITEM321"/>
    <x v="19"/>
    <x v="1"/>
    <n v="30"/>
    <n v="27"/>
    <x v="2"/>
    <n v="1400"/>
  </r>
  <r>
    <s v="ITEM322"/>
    <x v="11"/>
    <x v="2"/>
    <n v="71"/>
    <n v="22"/>
    <x v="1"/>
    <n v="12000"/>
  </r>
  <r>
    <s v="ITEM323"/>
    <x v="5"/>
    <x v="1"/>
    <n v="69"/>
    <n v="27"/>
    <x v="4"/>
    <n v="18000"/>
  </r>
  <r>
    <s v="ITEM324"/>
    <x v="2"/>
    <x v="3"/>
    <n v="64"/>
    <n v="5"/>
    <x v="3"/>
    <n v="1500"/>
  </r>
  <r>
    <s v="ITEM325"/>
    <x v="10"/>
    <x v="0"/>
    <n v="76"/>
    <n v="26"/>
    <x v="4"/>
    <n v="2000"/>
  </r>
  <r>
    <s v="ITEM326"/>
    <x v="14"/>
    <x v="1"/>
    <n v="79"/>
    <n v="16"/>
    <x v="3"/>
    <n v="1000"/>
  </r>
  <r>
    <s v="ITEM327"/>
    <x v="11"/>
    <x v="2"/>
    <n v="74"/>
    <n v="29"/>
    <x v="2"/>
    <n v="12000"/>
  </r>
  <r>
    <s v="ITEM328"/>
    <x v="9"/>
    <x v="2"/>
    <n v="15"/>
    <n v="14"/>
    <x v="4"/>
    <n v="17500"/>
  </r>
  <r>
    <s v="ITEM329"/>
    <x v="0"/>
    <x v="2"/>
    <n v="98"/>
    <n v="22"/>
    <x v="1"/>
    <n v="1800"/>
  </r>
  <r>
    <s v="ITEM330"/>
    <x v="1"/>
    <x v="0"/>
    <n v="15"/>
    <n v="7"/>
    <x v="0"/>
    <n v="2000"/>
  </r>
  <r>
    <s v="ITEM331"/>
    <x v="18"/>
    <x v="3"/>
    <n v="63"/>
    <n v="21"/>
    <x v="3"/>
    <n v="9000"/>
  </r>
  <r>
    <s v="ITEM332"/>
    <x v="14"/>
    <x v="3"/>
    <n v="106"/>
    <n v="27"/>
    <x v="3"/>
    <n v="1000"/>
  </r>
  <r>
    <s v="ITEM333"/>
    <x v="17"/>
    <x v="1"/>
    <n v="21"/>
    <n v="24"/>
    <x v="4"/>
    <n v="5500"/>
  </r>
  <r>
    <s v="ITEM334"/>
    <x v="13"/>
    <x v="3"/>
    <n v="15"/>
    <n v="15"/>
    <x v="4"/>
    <n v="4500"/>
  </r>
  <r>
    <s v="ITEM335"/>
    <x v="10"/>
    <x v="3"/>
    <n v="17"/>
    <n v="25"/>
    <x v="4"/>
    <n v="2000"/>
  </r>
  <r>
    <s v="ITEM336"/>
    <x v="12"/>
    <x v="1"/>
    <n v="11"/>
    <n v="15"/>
    <x v="1"/>
    <n v="10000"/>
  </r>
  <r>
    <s v="ITEM337"/>
    <x v="12"/>
    <x v="1"/>
    <n v="39"/>
    <n v="34"/>
    <x v="3"/>
    <n v="10000"/>
  </r>
  <r>
    <s v="ITEM338"/>
    <x v="6"/>
    <x v="0"/>
    <n v="62"/>
    <n v="14"/>
    <x v="2"/>
    <n v="3500"/>
  </r>
  <r>
    <s v="ITEM339"/>
    <x v="9"/>
    <x v="2"/>
    <n v="34"/>
    <n v="21"/>
    <x v="1"/>
    <n v="17500"/>
  </r>
  <r>
    <s v="ITEM340"/>
    <x v="10"/>
    <x v="0"/>
    <n v="20"/>
    <n v="19"/>
    <x v="0"/>
    <n v="2000"/>
  </r>
  <r>
    <s v="ITEM341"/>
    <x v="5"/>
    <x v="2"/>
    <n v="78"/>
    <n v="17"/>
    <x v="4"/>
    <n v="18000"/>
  </r>
  <r>
    <s v="ITEM342"/>
    <x v="9"/>
    <x v="2"/>
    <n v="65"/>
    <n v="22"/>
    <x v="2"/>
    <n v="17500"/>
  </r>
  <r>
    <s v="ITEM343"/>
    <x v="17"/>
    <x v="0"/>
    <n v="67"/>
    <n v="28"/>
    <x v="2"/>
    <n v="5500"/>
  </r>
  <r>
    <s v="ITEM344"/>
    <x v="6"/>
    <x v="2"/>
    <n v="19"/>
    <n v="32"/>
    <x v="2"/>
    <n v="3500"/>
  </r>
  <r>
    <s v="ITEM345"/>
    <x v="15"/>
    <x v="1"/>
    <n v="13"/>
    <n v="8"/>
    <x v="1"/>
    <n v="1200"/>
  </r>
  <r>
    <s v="ITEM346"/>
    <x v="10"/>
    <x v="1"/>
    <n v="34"/>
    <n v="21"/>
    <x v="2"/>
    <n v="2000"/>
  </r>
  <r>
    <s v="ITEM347"/>
    <x v="3"/>
    <x v="2"/>
    <n v="49"/>
    <n v="18"/>
    <x v="1"/>
    <n v="11500"/>
  </r>
  <r>
    <s v="ITEM348"/>
    <x v="8"/>
    <x v="3"/>
    <n v="100"/>
    <n v="19"/>
    <x v="4"/>
    <n v="1500"/>
  </r>
  <r>
    <s v="ITEM349"/>
    <x v="3"/>
    <x v="1"/>
    <n v="62"/>
    <n v="18"/>
    <x v="4"/>
    <n v="11500"/>
  </r>
  <r>
    <s v="ITEM350"/>
    <x v="15"/>
    <x v="1"/>
    <n v="31"/>
    <n v="26"/>
    <x v="0"/>
    <n v="1200"/>
  </r>
  <r>
    <s v="ITEM351"/>
    <x v="11"/>
    <x v="2"/>
    <n v="70"/>
    <n v="18"/>
    <x v="3"/>
    <n v="12000"/>
  </r>
  <r>
    <s v="ITEM352"/>
    <x v="19"/>
    <x v="1"/>
    <n v="61"/>
    <n v="16"/>
    <x v="4"/>
    <n v="1400"/>
  </r>
  <r>
    <s v="ITEM353"/>
    <x v="18"/>
    <x v="1"/>
    <n v="108"/>
    <n v="21"/>
    <x v="4"/>
    <n v="9000"/>
  </r>
  <r>
    <s v="ITEM354"/>
    <x v="3"/>
    <x v="1"/>
    <n v="77"/>
    <n v="31"/>
    <x v="1"/>
    <n v="11500"/>
  </r>
  <r>
    <s v="ITEM355"/>
    <x v="6"/>
    <x v="1"/>
    <n v="107"/>
    <n v="26"/>
    <x v="3"/>
    <n v="3500"/>
  </r>
  <r>
    <s v="ITEM356"/>
    <x v="18"/>
    <x v="0"/>
    <n v="85"/>
    <n v="21"/>
    <x v="1"/>
    <n v="9000"/>
  </r>
  <r>
    <s v="ITEM357"/>
    <x v="13"/>
    <x v="2"/>
    <n v="34"/>
    <n v="12"/>
    <x v="2"/>
    <n v="4500"/>
  </r>
  <r>
    <s v="ITEM358"/>
    <x v="11"/>
    <x v="3"/>
    <n v="43"/>
    <n v="11"/>
    <x v="4"/>
    <n v="12000"/>
  </r>
  <r>
    <s v="ITEM359"/>
    <x v="10"/>
    <x v="1"/>
    <n v="52"/>
    <n v="34"/>
    <x v="4"/>
    <n v="2000"/>
  </r>
  <r>
    <s v="ITEM360"/>
    <x v="14"/>
    <x v="3"/>
    <n v="15"/>
    <n v="15"/>
    <x v="1"/>
    <n v="1000"/>
  </r>
  <r>
    <s v="ITEM361"/>
    <x v="5"/>
    <x v="0"/>
    <n v="100"/>
    <n v="20"/>
    <x v="2"/>
    <n v="18000"/>
  </r>
  <r>
    <s v="ITEM362"/>
    <x v="7"/>
    <x v="0"/>
    <n v="26"/>
    <n v="34"/>
    <x v="1"/>
    <n v="3000"/>
  </r>
  <r>
    <s v="ITEM363"/>
    <x v="11"/>
    <x v="0"/>
    <n v="73"/>
    <n v="24"/>
    <x v="1"/>
    <n v="12000"/>
  </r>
  <r>
    <s v="ITEM364"/>
    <x v="18"/>
    <x v="3"/>
    <n v="39"/>
    <n v="32"/>
    <x v="4"/>
    <n v="9000"/>
  </r>
  <r>
    <s v="ITEM365"/>
    <x v="12"/>
    <x v="1"/>
    <n v="63"/>
    <n v="18"/>
    <x v="2"/>
    <n v="10000"/>
  </r>
  <r>
    <s v="ITEM366"/>
    <x v="14"/>
    <x v="2"/>
    <n v="12"/>
    <n v="23"/>
    <x v="1"/>
    <n v="1000"/>
  </r>
  <r>
    <s v="ITEM367"/>
    <x v="12"/>
    <x v="3"/>
    <n v="18"/>
    <n v="12"/>
    <x v="4"/>
    <n v="10000"/>
  </r>
  <r>
    <s v="ITEM368"/>
    <x v="17"/>
    <x v="1"/>
    <n v="101"/>
    <n v="15"/>
    <x v="3"/>
    <n v="5500"/>
  </r>
  <r>
    <s v="ITEM369"/>
    <x v="1"/>
    <x v="3"/>
    <n v="37"/>
    <n v="29"/>
    <x v="4"/>
    <n v="2000"/>
  </r>
  <r>
    <s v="ITEM370"/>
    <x v="13"/>
    <x v="2"/>
    <n v="12"/>
    <n v="33"/>
    <x v="1"/>
    <n v="4500"/>
  </r>
  <r>
    <s v="ITEM371"/>
    <x v="17"/>
    <x v="1"/>
    <n v="91"/>
    <n v="6"/>
    <x v="1"/>
    <n v="5500"/>
  </r>
  <r>
    <s v="ITEM372"/>
    <x v="7"/>
    <x v="0"/>
    <n v="80"/>
    <n v="19"/>
    <x v="1"/>
    <n v="3000"/>
  </r>
  <r>
    <s v="ITEM373"/>
    <x v="5"/>
    <x v="2"/>
    <n v="33"/>
    <n v="19"/>
    <x v="1"/>
    <n v="18000"/>
  </r>
  <r>
    <s v="ITEM374"/>
    <x v="0"/>
    <x v="1"/>
    <n v="59"/>
    <n v="28"/>
    <x v="2"/>
    <n v="1800"/>
  </r>
  <r>
    <s v="ITEM375"/>
    <x v="13"/>
    <x v="1"/>
    <n v="88"/>
    <n v="8"/>
    <x v="4"/>
    <n v="4500"/>
  </r>
  <r>
    <s v="ITEM376"/>
    <x v="8"/>
    <x v="2"/>
    <n v="24"/>
    <n v="29"/>
    <x v="0"/>
    <n v="1500"/>
  </r>
  <r>
    <s v="ITEM377"/>
    <x v="16"/>
    <x v="1"/>
    <n v="41"/>
    <n v="9"/>
    <x v="1"/>
    <n v="800"/>
  </r>
  <r>
    <s v="ITEM378"/>
    <x v="0"/>
    <x v="0"/>
    <n v="95"/>
    <n v="5"/>
    <x v="0"/>
    <n v="1800"/>
  </r>
  <r>
    <s v="ITEM379"/>
    <x v="4"/>
    <x v="2"/>
    <n v="43"/>
    <n v="13"/>
    <x v="3"/>
    <n v="2500"/>
  </r>
  <r>
    <s v="ITEM380"/>
    <x v="9"/>
    <x v="0"/>
    <n v="16"/>
    <n v="34"/>
    <x v="0"/>
    <n v="17500"/>
  </r>
  <r>
    <s v="ITEM381"/>
    <x v="10"/>
    <x v="2"/>
    <n v="42"/>
    <n v="29"/>
    <x v="0"/>
    <n v="2000"/>
  </r>
  <r>
    <s v="ITEM382"/>
    <x v="19"/>
    <x v="2"/>
    <n v="86"/>
    <n v="24"/>
    <x v="4"/>
    <n v="1400"/>
  </r>
  <r>
    <s v="ITEM383"/>
    <x v="10"/>
    <x v="2"/>
    <n v="49"/>
    <n v="14"/>
    <x v="2"/>
    <n v="2000"/>
  </r>
  <r>
    <s v="ITEM384"/>
    <x v="8"/>
    <x v="2"/>
    <n v="49"/>
    <n v="34"/>
    <x v="4"/>
    <n v="1500"/>
  </r>
  <r>
    <s v="ITEM385"/>
    <x v="13"/>
    <x v="3"/>
    <n v="104"/>
    <n v="19"/>
    <x v="4"/>
    <n v="4500"/>
  </r>
  <r>
    <s v="ITEM386"/>
    <x v="14"/>
    <x v="0"/>
    <n v="99"/>
    <n v="30"/>
    <x v="4"/>
    <n v="1000"/>
  </r>
  <r>
    <s v="ITEM387"/>
    <x v="11"/>
    <x v="2"/>
    <n v="69"/>
    <n v="9"/>
    <x v="0"/>
    <n v="12000"/>
  </r>
  <r>
    <s v="ITEM388"/>
    <x v="6"/>
    <x v="3"/>
    <n v="83"/>
    <n v="20"/>
    <x v="3"/>
    <n v="3500"/>
  </r>
  <r>
    <s v="ITEM389"/>
    <x v="19"/>
    <x v="0"/>
    <n v="22"/>
    <n v="24"/>
    <x v="2"/>
    <n v="1400"/>
  </r>
  <r>
    <s v="ITEM390"/>
    <x v="18"/>
    <x v="3"/>
    <n v="104"/>
    <n v="15"/>
    <x v="1"/>
    <n v="9000"/>
  </r>
  <r>
    <s v="ITEM391"/>
    <x v="16"/>
    <x v="2"/>
    <n v="29"/>
    <n v="14"/>
    <x v="3"/>
    <n v="800"/>
  </r>
  <r>
    <s v="ITEM392"/>
    <x v="3"/>
    <x v="1"/>
    <n v="48"/>
    <n v="28"/>
    <x v="0"/>
    <n v="11500"/>
  </r>
  <r>
    <s v="ITEM393"/>
    <x v="11"/>
    <x v="2"/>
    <n v="19"/>
    <n v="17"/>
    <x v="3"/>
    <n v="12000"/>
  </r>
  <r>
    <s v="ITEM394"/>
    <x v="2"/>
    <x v="1"/>
    <n v="30"/>
    <n v="17"/>
    <x v="4"/>
    <n v="1500"/>
  </r>
  <r>
    <s v="ITEM395"/>
    <x v="0"/>
    <x v="0"/>
    <n v="16"/>
    <n v="11"/>
    <x v="1"/>
    <n v="1800"/>
  </r>
  <r>
    <s v="ITEM396"/>
    <x v="16"/>
    <x v="3"/>
    <n v="21"/>
    <n v="28"/>
    <x v="4"/>
    <n v="800"/>
  </r>
  <r>
    <s v="ITEM397"/>
    <x v="8"/>
    <x v="3"/>
    <n v="19"/>
    <n v="18"/>
    <x v="2"/>
    <n v="1500"/>
  </r>
  <r>
    <s v="ITEM398"/>
    <x v="14"/>
    <x v="2"/>
    <n v="57"/>
    <n v="16"/>
    <x v="1"/>
    <n v="1000"/>
  </r>
  <r>
    <s v="ITEM399"/>
    <x v="5"/>
    <x v="2"/>
    <n v="28"/>
    <n v="16"/>
    <x v="0"/>
    <n v="18000"/>
  </r>
  <r>
    <s v="ITEM400"/>
    <x v="2"/>
    <x v="0"/>
    <n v="82"/>
    <n v="12"/>
    <x v="0"/>
    <n v="1500"/>
  </r>
  <r>
    <s v="ITEM401"/>
    <x v="6"/>
    <x v="3"/>
    <n v="42"/>
    <n v="19"/>
    <x v="3"/>
    <n v="3500"/>
  </r>
  <r>
    <s v="ITEM402"/>
    <x v="12"/>
    <x v="3"/>
    <n v="40"/>
    <n v="31"/>
    <x v="0"/>
    <n v="10000"/>
  </r>
  <r>
    <s v="ITEM403"/>
    <x v="10"/>
    <x v="1"/>
    <n v="69"/>
    <n v="11"/>
    <x v="1"/>
    <n v="2000"/>
  </r>
  <r>
    <s v="ITEM404"/>
    <x v="19"/>
    <x v="0"/>
    <n v="57"/>
    <n v="25"/>
    <x v="4"/>
    <n v="1400"/>
  </r>
  <r>
    <s v="ITEM405"/>
    <x v="6"/>
    <x v="0"/>
    <n v="32"/>
    <n v="24"/>
    <x v="3"/>
    <n v="3500"/>
  </r>
  <r>
    <s v="ITEM406"/>
    <x v="5"/>
    <x v="3"/>
    <n v="59"/>
    <n v="26"/>
    <x v="3"/>
    <n v="18000"/>
  </r>
  <r>
    <s v="ITEM407"/>
    <x v="12"/>
    <x v="2"/>
    <n v="31"/>
    <n v="15"/>
    <x v="1"/>
    <n v="10000"/>
  </r>
  <r>
    <s v="ITEM408"/>
    <x v="7"/>
    <x v="1"/>
    <n v="56"/>
    <n v="20"/>
    <x v="0"/>
    <n v="3000"/>
  </r>
  <r>
    <s v="ITEM409"/>
    <x v="3"/>
    <x v="0"/>
    <n v="43"/>
    <n v="32"/>
    <x v="4"/>
    <n v="11500"/>
  </r>
  <r>
    <s v="ITEM410"/>
    <x v="9"/>
    <x v="3"/>
    <n v="34"/>
    <n v="32"/>
    <x v="4"/>
    <n v="17500"/>
  </r>
  <r>
    <s v="ITEM411"/>
    <x v="1"/>
    <x v="2"/>
    <n v="39"/>
    <n v="10"/>
    <x v="3"/>
    <n v="2000"/>
  </r>
  <r>
    <s v="ITEM412"/>
    <x v="9"/>
    <x v="0"/>
    <n v="82"/>
    <n v="20"/>
    <x v="2"/>
    <n v="17500"/>
  </r>
  <r>
    <s v="ITEM413"/>
    <x v="7"/>
    <x v="0"/>
    <n v="14"/>
    <n v="26"/>
    <x v="0"/>
    <n v="3000"/>
  </r>
  <r>
    <s v="ITEM414"/>
    <x v="11"/>
    <x v="1"/>
    <n v="15"/>
    <n v="32"/>
    <x v="0"/>
    <n v="12000"/>
  </r>
  <r>
    <s v="ITEM415"/>
    <x v="11"/>
    <x v="1"/>
    <n v="70"/>
    <n v="12"/>
    <x v="1"/>
    <n v="12000"/>
  </r>
  <r>
    <s v="ITEM416"/>
    <x v="15"/>
    <x v="2"/>
    <n v="10"/>
    <n v="7"/>
    <x v="2"/>
    <n v="1200"/>
  </r>
  <r>
    <s v="ITEM417"/>
    <x v="6"/>
    <x v="0"/>
    <n v="32"/>
    <n v="16"/>
    <x v="2"/>
    <n v="3500"/>
  </r>
  <r>
    <s v="ITEM418"/>
    <x v="8"/>
    <x v="3"/>
    <n v="15"/>
    <n v="33"/>
    <x v="4"/>
    <n v="1500"/>
  </r>
  <r>
    <s v="ITEM419"/>
    <x v="13"/>
    <x v="2"/>
    <n v="37"/>
    <n v="19"/>
    <x v="4"/>
    <n v="4500"/>
  </r>
  <r>
    <s v="ITEM420"/>
    <x v="12"/>
    <x v="3"/>
    <n v="26"/>
    <n v="14"/>
    <x v="0"/>
    <n v="10000"/>
  </r>
  <r>
    <s v="ITEM421"/>
    <x v="4"/>
    <x v="1"/>
    <n v="81"/>
    <n v="22"/>
    <x v="2"/>
    <n v="2500"/>
  </r>
  <r>
    <s v="ITEM422"/>
    <x v="7"/>
    <x v="1"/>
    <n v="31"/>
    <n v="26"/>
    <x v="4"/>
    <n v="3000"/>
  </r>
  <r>
    <s v="ITEM423"/>
    <x v="1"/>
    <x v="1"/>
    <n v="23"/>
    <n v="26"/>
    <x v="2"/>
    <n v="2000"/>
  </r>
  <r>
    <s v="ITEM424"/>
    <x v="5"/>
    <x v="1"/>
    <n v="11"/>
    <n v="17"/>
    <x v="3"/>
    <n v="18000"/>
  </r>
  <r>
    <s v="ITEM425"/>
    <x v="17"/>
    <x v="3"/>
    <n v="91"/>
    <n v="19"/>
    <x v="4"/>
    <n v="5500"/>
  </r>
  <r>
    <s v="ITEM426"/>
    <x v="4"/>
    <x v="2"/>
    <n v="40"/>
    <n v="34"/>
    <x v="0"/>
    <n v="2500"/>
  </r>
  <r>
    <s v="ITEM427"/>
    <x v="3"/>
    <x v="2"/>
    <n v="49"/>
    <n v="13"/>
    <x v="1"/>
    <n v="11500"/>
  </r>
  <r>
    <s v="ITEM428"/>
    <x v="15"/>
    <x v="3"/>
    <n v="39"/>
    <n v="8"/>
    <x v="0"/>
    <n v="1200"/>
  </r>
  <r>
    <s v="ITEM429"/>
    <x v="15"/>
    <x v="1"/>
    <n v="83"/>
    <n v="23"/>
    <x v="1"/>
    <n v="1200"/>
  </r>
  <r>
    <s v="ITEM430"/>
    <x v="4"/>
    <x v="0"/>
    <n v="19"/>
    <n v="30"/>
    <x v="0"/>
    <n v="2500"/>
  </r>
  <r>
    <s v="ITEM431"/>
    <x v="5"/>
    <x v="1"/>
    <n v="41"/>
    <n v="17"/>
    <x v="2"/>
    <n v="18000"/>
  </r>
  <r>
    <s v="ITEM432"/>
    <x v="1"/>
    <x v="1"/>
    <n v="24"/>
    <n v="13"/>
    <x v="4"/>
    <n v="2000"/>
  </r>
  <r>
    <s v="ITEM433"/>
    <x v="11"/>
    <x v="2"/>
    <n v="89"/>
    <n v="15"/>
    <x v="0"/>
    <n v="12000"/>
  </r>
  <r>
    <s v="ITEM434"/>
    <x v="10"/>
    <x v="0"/>
    <n v="10"/>
    <n v="13"/>
    <x v="4"/>
    <n v="2000"/>
  </r>
  <r>
    <s v="ITEM435"/>
    <x v="15"/>
    <x v="0"/>
    <n v="60"/>
    <n v="13"/>
    <x v="2"/>
    <n v="1200"/>
  </r>
  <r>
    <s v="ITEM436"/>
    <x v="1"/>
    <x v="2"/>
    <n v="28"/>
    <n v="27"/>
    <x v="4"/>
    <n v="2000"/>
  </r>
  <r>
    <s v="ITEM437"/>
    <x v="9"/>
    <x v="2"/>
    <n v="42"/>
    <n v="28"/>
    <x v="4"/>
    <n v="17500"/>
  </r>
  <r>
    <s v="ITEM438"/>
    <x v="18"/>
    <x v="0"/>
    <n v="32"/>
    <n v="29"/>
    <x v="0"/>
    <n v="9000"/>
  </r>
  <r>
    <s v="ITEM439"/>
    <x v="7"/>
    <x v="2"/>
    <n v="74"/>
    <n v="18"/>
    <x v="3"/>
    <n v="3000"/>
  </r>
  <r>
    <s v="ITEM440"/>
    <x v="14"/>
    <x v="3"/>
    <n v="29"/>
    <n v="8"/>
    <x v="4"/>
    <n v="1000"/>
  </r>
  <r>
    <s v="ITEM441"/>
    <x v="3"/>
    <x v="0"/>
    <n v="58"/>
    <n v="22"/>
    <x v="0"/>
    <n v="11500"/>
  </r>
  <r>
    <s v="ITEM442"/>
    <x v="7"/>
    <x v="0"/>
    <n v="22"/>
    <n v="18"/>
    <x v="4"/>
    <n v="3000"/>
  </r>
  <r>
    <s v="ITEM443"/>
    <x v="16"/>
    <x v="0"/>
    <n v="56"/>
    <n v="16"/>
    <x v="0"/>
    <n v="800"/>
  </r>
  <r>
    <s v="ITEM444"/>
    <x v="17"/>
    <x v="0"/>
    <n v="50"/>
    <n v="22"/>
    <x v="0"/>
    <n v="5500"/>
  </r>
  <r>
    <s v="ITEM445"/>
    <x v="12"/>
    <x v="3"/>
    <n v="87"/>
    <n v="17"/>
    <x v="4"/>
    <n v="10000"/>
  </r>
  <r>
    <s v="ITEM446"/>
    <x v="4"/>
    <x v="3"/>
    <n v="65"/>
    <n v="24"/>
    <x v="4"/>
    <n v="2500"/>
  </r>
  <r>
    <s v="ITEM447"/>
    <x v="9"/>
    <x v="3"/>
    <n v="53"/>
    <n v="16"/>
    <x v="3"/>
    <n v="17500"/>
  </r>
  <r>
    <s v="ITEM448"/>
    <x v="8"/>
    <x v="3"/>
    <n v="45"/>
    <n v="19"/>
    <x v="3"/>
    <n v="1500"/>
  </r>
  <r>
    <s v="ITEM449"/>
    <x v="14"/>
    <x v="2"/>
    <n v="27"/>
    <n v="15"/>
    <x v="1"/>
    <n v="1000"/>
  </r>
  <r>
    <s v="ITEM450"/>
    <x v="10"/>
    <x v="1"/>
    <n v="97"/>
    <n v="11"/>
    <x v="4"/>
    <n v="2000"/>
  </r>
  <r>
    <s v="ITEM451"/>
    <x v="5"/>
    <x v="1"/>
    <n v="57"/>
    <n v="6"/>
    <x v="0"/>
    <n v="18000"/>
  </r>
  <r>
    <s v="ITEM452"/>
    <x v="7"/>
    <x v="0"/>
    <n v="18"/>
    <n v="19"/>
    <x v="0"/>
    <n v="3000"/>
  </r>
  <r>
    <s v="ITEM453"/>
    <x v="18"/>
    <x v="1"/>
    <n v="61"/>
    <n v="8"/>
    <x v="3"/>
    <n v="9000"/>
  </r>
  <r>
    <s v="ITEM454"/>
    <x v="4"/>
    <x v="2"/>
    <n v="55"/>
    <n v="8"/>
    <x v="1"/>
    <n v="2500"/>
  </r>
  <r>
    <s v="ITEM455"/>
    <x v="19"/>
    <x v="2"/>
    <n v="95"/>
    <n v="19"/>
    <x v="0"/>
    <n v="1400"/>
  </r>
  <r>
    <s v="ITEM456"/>
    <x v="12"/>
    <x v="3"/>
    <n v="74"/>
    <n v="18"/>
    <x v="2"/>
    <n v="10000"/>
  </r>
  <r>
    <s v="ITEM457"/>
    <x v="19"/>
    <x v="2"/>
    <n v="69"/>
    <n v="17"/>
    <x v="3"/>
    <n v="1400"/>
  </r>
  <r>
    <s v="ITEM458"/>
    <x v="13"/>
    <x v="3"/>
    <n v="29"/>
    <n v="24"/>
    <x v="1"/>
    <n v="4500"/>
  </r>
  <r>
    <s v="ITEM459"/>
    <x v="1"/>
    <x v="0"/>
    <n v="26"/>
    <n v="10"/>
    <x v="0"/>
    <n v="2000"/>
  </r>
  <r>
    <s v="ITEM460"/>
    <x v="15"/>
    <x v="1"/>
    <n v="43"/>
    <n v="11"/>
    <x v="2"/>
    <n v="1200"/>
  </r>
  <r>
    <s v="ITEM461"/>
    <x v="17"/>
    <x v="3"/>
    <n v="105"/>
    <n v="15"/>
    <x v="4"/>
    <n v="5500"/>
  </r>
  <r>
    <s v="ITEM462"/>
    <x v="6"/>
    <x v="0"/>
    <n v="94"/>
    <n v="10"/>
    <x v="2"/>
    <n v="3500"/>
  </r>
  <r>
    <s v="ITEM463"/>
    <x v="19"/>
    <x v="3"/>
    <n v="101"/>
    <n v="20"/>
    <x v="4"/>
    <n v="1400"/>
  </r>
  <r>
    <s v="ITEM464"/>
    <x v="6"/>
    <x v="1"/>
    <n v="20"/>
    <n v="10"/>
    <x v="2"/>
    <n v="3500"/>
  </r>
  <r>
    <s v="ITEM465"/>
    <x v="17"/>
    <x v="1"/>
    <n v="32"/>
    <n v="8"/>
    <x v="0"/>
    <n v="5500"/>
  </r>
  <r>
    <s v="ITEM466"/>
    <x v="15"/>
    <x v="3"/>
    <n v="91"/>
    <n v="28"/>
    <x v="3"/>
    <n v="1200"/>
  </r>
  <r>
    <s v="ITEM467"/>
    <x v="14"/>
    <x v="2"/>
    <n v="26"/>
    <n v="24"/>
    <x v="2"/>
    <n v="1000"/>
  </r>
  <r>
    <s v="ITEM468"/>
    <x v="19"/>
    <x v="3"/>
    <n v="61"/>
    <n v="16"/>
    <x v="2"/>
    <n v="1400"/>
  </r>
  <r>
    <s v="ITEM469"/>
    <x v="4"/>
    <x v="3"/>
    <n v="20"/>
    <n v="32"/>
    <x v="1"/>
    <n v="2500"/>
  </r>
  <r>
    <s v="ITEM470"/>
    <x v="14"/>
    <x v="2"/>
    <n v="107"/>
    <n v="30"/>
    <x v="4"/>
    <n v="1000"/>
  </r>
  <r>
    <s v="ITEM471"/>
    <x v="11"/>
    <x v="1"/>
    <n v="88"/>
    <n v="24"/>
    <x v="3"/>
    <n v="12000"/>
  </r>
  <r>
    <s v="ITEM472"/>
    <x v="7"/>
    <x v="2"/>
    <n v="54"/>
    <n v="6"/>
    <x v="4"/>
    <n v="3000"/>
  </r>
  <r>
    <s v="ITEM473"/>
    <x v="17"/>
    <x v="3"/>
    <n v="37"/>
    <n v="29"/>
    <x v="3"/>
    <n v="5500"/>
  </r>
  <r>
    <s v="ITEM474"/>
    <x v="0"/>
    <x v="1"/>
    <n v="29"/>
    <n v="27"/>
    <x v="0"/>
    <n v="1800"/>
  </r>
  <r>
    <s v="ITEM475"/>
    <x v="17"/>
    <x v="2"/>
    <n v="88"/>
    <n v="8"/>
    <x v="0"/>
    <n v="5500"/>
  </r>
  <r>
    <s v="ITEM476"/>
    <x v="1"/>
    <x v="0"/>
    <n v="37"/>
    <n v="10"/>
    <x v="2"/>
    <n v="2000"/>
  </r>
  <r>
    <s v="ITEM477"/>
    <x v="5"/>
    <x v="2"/>
    <n v="106"/>
    <n v="29"/>
    <x v="3"/>
    <n v="18000"/>
  </r>
  <r>
    <s v="ITEM478"/>
    <x v="14"/>
    <x v="3"/>
    <n v="87"/>
    <n v="17"/>
    <x v="4"/>
    <n v="1000"/>
  </r>
  <r>
    <s v="ITEM479"/>
    <x v="17"/>
    <x v="3"/>
    <n v="47"/>
    <n v="5"/>
    <x v="4"/>
    <n v="5500"/>
  </r>
  <r>
    <s v="ITEM480"/>
    <x v="6"/>
    <x v="0"/>
    <n v="42"/>
    <n v="20"/>
    <x v="4"/>
    <n v="3500"/>
  </r>
  <r>
    <s v="ITEM481"/>
    <x v="12"/>
    <x v="1"/>
    <n v="95"/>
    <n v="29"/>
    <x v="4"/>
    <n v="10000"/>
  </r>
  <r>
    <s v="ITEM482"/>
    <x v="16"/>
    <x v="2"/>
    <n v="47"/>
    <n v="29"/>
    <x v="2"/>
    <n v="800"/>
  </r>
  <r>
    <s v="ITEM483"/>
    <x v="12"/>
    <x v="1"/>
    <n v="55"/>
    <n v="30"/>
    <x v="2"/>
    <n v="10000"/>
  </r>
  <r>
    <s v="ITEM484"/>
    <x v="4"/>
    <x v="3"/>
    <n v="32"/>
    <n v="16"/>
    <x v="2"/>
    <n v="2500"/>
  </r>
  <r>
    <s v="ITEM485"/>
    <x v="4"/>
    <x v="1"/>
    <n v="107"/>
    <n v="32"/>
    <x v="3"/>
    <n v="2500"/>
  </r>
  <r>
    <s v="ITEM486"/>
    <x v="10"/>
    <x v="0"/>
    <n v="86"/>
    <n v="14"/>
    <x v="3"/>
    <n v="2000"/>
  </r>
  <r>
    <s v="ITEM487"/>
    <x v="16"/>
    <x v="0"/>
    <n v="29"/>
    <n v="30"/>
    <x v="3"/>
    <n v="800"/>
  </r>
  <r>
    <s v="ITEM488"/>
    <x v="12"/>
    <x v="3"/>
    <n v="53"/>
    <n v="25"/>
    <x v="4"/>
    <n v="10000"/>
  </r>
  <r>
    <s v="ITEM489"/>
    <x v="4"/>
    <x v="1"/>
    <n v="103"/>
    <n v="14"/>
    <x v="0"/>
    <n v="2500"/>
  </r>
  <r>
    <s v="ITEM490"/>
    <x v="17"/>
    <x v="3"/>
    <n v="70"/>
    <n v="25"/>
    <x v="1"/>
    <n v="5500"/>
  </r>
  <r>
    <s v="ITEM491"/>
    <x v="6"/>
    <x v="2"/>
    <n v="65"/>
    <n v="9"/>
    <x v="3"/>
    <n v="3500"/>
  </r>
  <r>
    <s v="ITEM492"/>
    <x v="3"/>
    <x v="0"/>
    <n v="54"/>
    <n v="20"/>
    <x v="2"/>
    <n v="11500"/>
  </r>
  <r>
    <s v="ITEM493"/>
    <x v="19"/>
    <x v="1"/>
    <n v="106"/>
    <n v="30"/>
    <x v="1"/>
    <n v="1400"/>
  </r>
  <r>
    <s v="ITEM494"/>
    <x v="0"/>
    <x v="3"/>
    <n v="57"/>
    <n v="30"/>
    <x v="3"/>
    <n v="1800"/>
  </r>
  <r>
    <s v="ITEM495"/>
    <x v="4"/>
    <x v="3"/>
    <n v="23"/>
    <n v="25"/>
    <x v="3"/>
    <n v="2500"/>
  </r>
  <r>
    <s v="ITEM496"/>
    <x v="10"/>
    <x v="1"/>
    <n v="100"/>
    <n v="21"/>
    <x v="2"/>
    <n v="2000"/>
  </r>
  <r>
    <s v="ITEM497"/>
    <x v="14"/>
    <x v="0"/>
    <n v="16"/>
    <n v="14"/>
    <x v="2"/>
    <n v="1000"/>
  </r>
  <r>
    <s v="ITEM498"/>
    <x v="16"/>
    <x v="1"/>
    <n v="50"/>
    <n v="20"/>
    <x v="2"/>
    <n v="800"/>
  </r>
  <r>
    <s v="ITEM499"/>
    <x v="0"/>
    <x v="3"/>
    <n v="101"/>
    <n v="22"/>
    <x v="0"/>
    <n v="1800"/>
  </r>
  <r>
    <s v="ITEM500"/>
    <x v="8"/>
    <x v="3"/>
    <n v="10"/>
    <n v="29"/>
    <x v="1"/>
    <n v="1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84A2F0-9C58-45E3-BFB2-FF3D1EE855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4:D20" firstHeaderRow="1" firstDataRow="1" firstDataCol="1"/>
  <pivotFields count="8">
    <pivotField showAll="0"/>
    <pivotField showAll="0">
      <items count="21">
        <item x="5"/>
        <item x="19"/>
        <item x="18"/>
        <item x="4"/>
        <item x="17"/>
        <item x="12"/>
        <item x="8"/>
        <item x="0"/>
        <item x="7"/>
        <item x="14"/>
        <item x="1"/>
        <item x="3"/>
        <item x="10"/>
        <item x="15"/>
        <item x="9"/>
        <item x="2"/>
        <item x="16"/>
        <item x="6"/>
        <item x="11"/>
        <item x="13"/>
        <item t="default"/>
      </items>
    </pivotField>
    <pivotField showAll="0">
      <items count="5">
        <item x="0"/>
        <item h="1" x="2"/>
        <item h="1" x="3"/>
        <item h="1" x="1"/>
        <item t="default"/>
      </items>
    </pivotField>
    <pivotField showAll="0"/>
    <pivotField showAll="0"/>
    <pivotField axis="axisRow" showAll="0" sortType="ascending">
      <items count="6">
        <item x="2"/>
        <item x="0"/>
        <item x="3"/>
        <item x="4"/>
        <item x="1"/>
        <item t="default"/>
      </items>
    </pivotField>
    <pivotField showAll="0"/>
    <pivotField dataField="1" dragToRow="0" dragToCol="0" dragToPage="0" showAll="0" defaultSubtotal="0"/>
  </pivotFields>
  <rowFields count="1">
    <field x="5"/>
  </rowFields>
  <rowItems count="6">
    <i>
      <x/>
    </i>
    <i>
      <x v="1"/>
    </i>
    <i>
      <x v="2"/>
    </i>
    <i>
      <x v="3"/>
    </i>
    <i>
      <x v="4"/>
    </i>
    <i t="grand">
      <x/>
    </i>
  </rowItems>
  <colItems count="1">
    <i/>
  </colItems>
  <dataFields count="1">
    <dataField name="Supplier Revenue" fld="7" baseField="5" baseItem="0" numFmtId="164"/>
  </dataFields>
  <formats count="1">
    <format dxfId="6">
      <pivotArea outline="0" collapsedLevelsAreSubtotals="1" fieldPosition="0"/>
    </format>
  </format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4"/>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5" count="1" selected="0">
            <x v="0"/>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 chart="3" format="6">
      <pivotArea type="data" outline="0" fieldPosition="0">
        <references count="2">
          <reference field="4294967294" count="1" selected="0">
            <x v="0"/>
          </reference>
          <reference field="5" count="1" selected="0">
            <x v="2"/>
          </reference>
        </references>
      </pivotArea>
    </chartFormat>
    <chartFormat chart="3" format="7">
      <pivotArea type="data" outline="0" fieldPosition="0">
        <references count="2">
          <reference field="4294967294" count="1" selected="0">
            <x v="0"/>
          </reference>
          <reference field="5" count="1" selected="0">
            <x v="3"/>
          </reference>
        </references>
      </pivotArea>
    </chartFormat>
    <chartFormat chart="3" format="8">
      <pivotArea type="data" outline="0" fieldPosition="0">
        <references count="2">
          <reference field="4294967294" count="1" selected="0">
            <x v="0"/>
          </reference>
          <reference field="5" count="1" selected="0">
            <x v="4"/>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5" count="1" selected="0">
            <x v="0"/>
          </reference>
        </references>
      </pivotArea>
    </chartFormat>
    <chartFormat chart="4" format="11">
      <pivotArea type="data" outline="0" fieldPosition="0">
        <references count="2">
          <reference field="4294967294" count="1" selected="0">
            <x v="0"/>
          </reference>
          <reference field="5" count="1" selected="0">
            <x v="1"/>
          </reference>
        </references>
      </pivotArea>
    </chartFormat>
    <chartFormat chart="4" format="12">
      <pivotArea type="data" outline="0" fieldPosition="0">
        <references count="2">
          <reference field="4294967294" count="1" selected="0">
            <x v="0"/>
          </reference>
          <reference field="5" count="1" selected="0">
            <x v="2"/>
          </reference>
        </references>
      </pivotArea>
    </chartFormat>
    <chartFormat chart="4" format="13">
      <pivotArea type="data" outline="0" fieldPosition="0">
        <references count="2">
          <reference field="4294967294" count="1" selected="0">
            <x v="0"/>
          </reference>
          <reference field="5" count="1" selected="0">
            <x v="3"/>
          </reference>
        </references>
      </pivotArea>
    </chartFormat>
    <chartFormat chart="4" format="14">
      <pivotArea type="data" outline="0" fieldPosition="0">
        <references count="2">
          <reference field="4294967294" count="1" selected="0">
            <x v="0"/>
          </reference>
          <reference field="5" count="1" selected="0">
            <x v="4"/>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A24B6F-CB6A-4AC4-BCE7-7FA12358AB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47" firstHeaderRow="1" firstDataRow="1" firstDataCol="1"/>
  <pivotFields count="8">
    <pivotField showAll="0"/>
    <pivotField axis="axisRow" showAll="0">
      <items count="21">
        <item x="5"/>
        <item x="19"/>
        <item x="18"/>
        <item x="4"/>
        <item x="17"/>
        <item x="12"/>
        <item x="8"/>
        <item x="0"/>
        <item x="7"/>
        <item x="14"/>
        <item x="1"/>
        <item x="3"/>
        <item x="10"/>
        <item x="15"/>
        <item x="9"/>
        <item x="2"/>
        <item x="16"/>
        <item x="6"/>
        <item x="11"/>
        <item x="13"/>
        <item t="default"/>
      </items>
    </pivotField>
    <pivotField showAll="0">
      <items count="5">
        <item x="0"/>
        <item h="1" x="2"/>
        <item h="1" x="3"/>
        <item h="1" x="1"/>
        <item t="default"/>
      </items>
    </pivotField>
    <pivotField showAll="0"/>
    <pivotField showAll="0"/>
    <pivotField showAll="0"/>
    <pivotField dataField="1" showAll="0"/>
    <pivotField dragToRow="0" dragToCol="0" dragToPage="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rice" fld="6" baseField="0" baseItem="0"/>
  </dataFields>
  <formats count="1">
    <format dxfId="7">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E1BB80-2C14-4A03-8610-73DCB1404D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4" firstHeaderRow="1" firstDataRow="1" firstDataCol="1"/>
  <pivotFields count="8">
    <pivotField showAll="0"/>
    <pivotField axis="axisRow" showAll="0">
      <items count="21">
        <item x="5"/>
        <item x="19"/>
        <item x="18"/>
        <item x="4"/>
        <item x="17"/>
        <item x="12"/>
        <item x="8"/>
        <item x="0"/>
        <item x="7"/>
        <item x="14"/>
        <item x="1"/>
        <item x="3"/>
        <item x="10"/>
        <item x="15"/>
        <item x="9"/>
        <item x="2"/>
        <item x="16"/>
        <item x="6"/>
        <item x="11"/>
        <item x="13"/>
        <item t="default"/>
      </items>
    </pivotField>
    <pivotField showAll="0">
      <items count="5">
        <item x="0"/>
        <item h="1" x="2"/>
        <item h="1" x="3"/>
        <item h="1" x="1"/>
        <item t="default"/>
      </items>
    </pivotField>
    <pivotField dataField="1" showAll="0"/>
    <pivotField showAll="0"/>
    <pivotField showAll="0"/>
    <pivotField showAll="0"/>
    <pivotField dragToRow="0" dragToCol="0" dragToPage="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tock per Item" fld="3" baseField="1" baseItem="0"/>
  </dataFields>
  <chartFormats count="3">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61D6C2-5705-4BAA-B1CC-38749ED502A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8">
    <pivotField showAll="0"/>
    <pivotField showAll="0">
      <items count="21">
        <item x="5"/>
        <item x="19"/>
        <item x="18"/>
        <item x="4"/>
        <item x="17"/>
        <item x="12"/>
        <item x="8"/>
        <item x="0"/>
        <item x="7"/>
        <item x="14"/>
        <item x="1"/>
        <item x="3"/>
        <item x="10"/>
        <item x="15"/>
        <item x="9"/>
        <item x="2"/>
        <item x="16"/>
        <item x="6"/>
        <item x="11"/>
        <item x="13"/>
        <item t="default"/>
      </items>
    </pivotField>
    <pivotField showAll="0">
      <items count="5">
        <item x="0"/>
        <item h="1" x="2"/>
        <item h="1" x="3"/>
        <item h="1" x="1"/>
        <item t="default"/>
      </items>
    </pivotField>
    <pivotField showAll="0"/>
    <pivotField dataField="1" showAll="0"/>
    <pivotField showAll="0"/>
    <pivotField showAll="0"/>
    <pivotField dragToRow="0" dragToCol="0" dragToPage="0" showAll="0" defaultSubtotal="0"/>
  </pivotFields>
  <rowItems count="1">
    <i/>
  </rowItems>
  <colItems count="1">
    <i/>
  </colItems>
  <dataFields count="1">
    <dataField name="Sum of reorder_level"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4A6F87-3197-4DBC-8E07-5B31FDE540D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8">
    <pivotField showAll="0"/>
    <pivotField showAll="0">
      <items count="21">
        <item x="5"/>
        <item x="19"/>
        <item x="18"/>
        <item x="4"/>
        <item x="17"/>
        <item x="12"/>
        <item x="8"/>
        <item x="0"/>
        <item x="7"/>
        <item x="14"/>
        <item x="1"/>
        <item x="3"/>
        <item x="10"/>
        <item x="15"/>
        <item x="9"/>
        <item x="2"/>
        <item x="16"/>
        <item x="6"/>
        <item x="11"/>
        <item x="13"/>
        <item t="default"/>
      </items>
    </pivotField>
    <pivotField showAll="0">
      <items count="5">
        <item x="0"/>
        <item h="1" x="2"/>
        <item h="1" x="3"/>
        <item h="1" x="1"/>
        <item t="default"/>
      </items>
    </pivotField>
    <pivotField dataField="1" showAll="0"/>
    <pivotField showAll="0"/>
    <pivotField showAll="0"/>
    <pivotField showAll="0"/>
    <pivotField dragToRow="0" dragToCol="0" dragToPage="0" showAll="0" defaultSubtotal="0"/>
  </pivotFields>
  <rowItems count="1">
    <i/>
  </rowItems>
  <colItems count="1">
    <i/>
  </colItems>
  <dataFields count="1">
    <dataField name="Sum of stoc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D3E52D-151B-4FD2-B8A0-E5BD77513F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49:B70" firstHeaderRow="1" firstDataRow="1" firstDataCol="1"/>
  <pivotFields count="8">
    <pivotField showAll="0"/>
    <pivotField axis="axisRow" showAll="0">
      <items count="21">
        <item x="5"/>
        <item x="19"/>
        <item x="18"/>
        <item x="4"/>
        <item x="17"/>
        <item x="12"/>
        <item x="8"/>
        <item x="0"/>
        <item x="7"/>
        <item x="14"/>
        <item x="1"/>
        <item x="3"/>
        <item x="10"/>
        <item x="15"/>
        <item x="9"/>
        <item x="2"/>
        <item x="16"/>
        <item x="6"/>
        <item x="11"/>
        <item x="13"/>
        <item t="default"/>
      </items>
    </pivotField>
    <pivotField showAll="0">
      <items count="5">
        <item x="0"/>
        <item h="1" x="2"/>
        <item h="1" x="3"/>
        <item h="1" x="1"/>
        <item t="default"/>
      </items>
    </pivotField>
    <pivotField showAll="0"/>
    <pivotField showAll="0"/>
    <pivotField showAll="0"/>
    <pivotField showAll="0"/>
    <pivotField dataField="1" dragToRow="0" dragToCol="0" dragToPage="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Income" fld="7" baseField="1" baseItem="0"/>
  </dataFields>
  <formats count="1">
    <format dxfId="8">
      <pivotArea collapsedLevelsAreSubtotals="1" fieldPosition="0">
        <references count="1">
          <reference field="1" count="0"/>
        </references>
      </pivotArea>
    </format>
  </formats>
  <chartFormats count="5">
    <chartFormat chart="7"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0"/>
          </reference>
        </references>
      </pivotArea>
    </chartFormat>
    <chartFormat chart="58" format="1"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08E41D-4F2B-4652-8C18-3FEFB77980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4" firstHeaderRow="0" firstDataRow="1" firstDataCol="1" rowPageCount="1" colPageCount="1"/>
  <pivotFields count="8">
    <pivotField showAll="0"/>
    <pivotField axis="axisRow" showAll="0">
      <items count="21">
        <item x="5"/>
        <item x="19"/>
        <item x="18"/>
        <item x="4"/>
        <item x="17"/>
        <item x="12"/>
        <item x="8"/>
        <item x="0"/>
        <item x="7"/>
        <item x="14"/>
        <item x="1"/>
        <item x="3"/>
        <item x="10"/>
        <item x="15"/>
        <item x="9"/>
        <item x="2"/>
        <item x="16"/>
        <item x="6"/>
        <item x="11"/>
        <item x="13"/>
        <item t="default"/>
      </items>
    </pivotField>
    <pivotField axis="axisPage" multipleItemSelectionAllowed="1" showAll="0">
      <items count="5">
        <item x="0"/>
        <item h="1" x="2"/>
        <item h="1" x="3"/>
        <item h="1" x="1"/>
        <item t="default"/>
      </items>
    </pivotField>
    <pivotField dataField="1" showAll="0"/>
    <pivotField dataField="1" showAll="0"/>
    <pivotField showAll="0"/>
    <pivotField showAll="0"/>
    <pivotField dragToRow="0" dragToCol="0" dragToPage="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pageFields count="1">
    <pageField fld="2" hier="-1"/>
  </pageFields>
  <dataFields count="2">
    <dataField name="Sum_stock" fld="3" baseField="1" baseItem="0"/>
    <dataField name=" reorder_level" fld="4"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2AC799-F2FD-4ECB-B366-1DB7BD65159B}" autoFormatId="16" applyNumberFormats="0" applyBorderFormats="0" applyFontFormats="0" applyPatternFormats="0" applyAlignmentFormats="0" applyWidthHeightFormats="0">
  <queryTableRefresh nextId="9">
    <queryTableFields count="7">
      <queryTableField id="1" name="item_id" tableColumnId="1"/>
      <queryTableField id="2" name="item_name" tableColumnId="2"/>
      <queryTableField id="3" name="category" tableColumnId="3"/>
      <queryTableField id="4" name="stock" tableColumnId="4"/>
      <queryTableField id="5" name="reorder_level" tableColumnId="5"/>
      <queryTableField id="6" name="supplier_id" tableColumnId="6"/>
      <queryTableField id="7" name="pric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7E1443F-7974-4E35-9490-B384B09B9FB2}" autoFormatId="16" applyNumberFormats="0" applyBorderFormats="0" applyFontFormats="0" applyPatternFormats="0" applyAlignmentFormats="0" applyWidthHeightFormats="0">
  <queryTableRefresh nextId="6">
    <queryTableFields count="5">
      <queryTableField id="1" name="supplier_id" tableColumnId="1"/>
      <queryTableField id="2" name="supplier_name" tableColumnId="2"/>
      <queryTableField id="3" name="location" tableColumnId="3"/>
      <queryTableField id="4" name="contact_number" tableColumnId="4"/>
      <queryTableField id="5" name="rating"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EEB70AE4-6458-4F4F-B22C-1B2C584267CC}" autoFormatId="16" applyNumberFormats="0" applyBorderFormats="0" applyFontFormats="0" applyPatternFormats="0" applyAlignmentFormats="0" applyWidthHeightFormats="0">
  <queryTableRefresh nextId="13" unboundColumnsRight="1">
    <queryTableFields count="12">
      <queryTableField id="1" name="shipment_id" tableColumnId="1"/>
      <queryTableField id="2" name="item_id" tableColumnId="2"/>
      <queryTableField id="3" name="supplier_id" tableColumnId="3"/>
      <queryTableField id="4" name="quantity" tableColumnId="4"/>
      <queryTableField id="5" name="shipment_date" tableColumnId="5"/>
      <queryTableField id="6" name="delivery_date" tableColumnId="6"/>
      <queryTableField id="7" name="status" tableColumnId="7"/>
      <queryTableField id="8" name="year" tableColumnId="8"/>
      <queryTableField id="9" name="month" tableColumnId="9"/>
      <queryTableField id="10" name="quarter" tableColumnId="10"/>
      <queryTableField id="11" name="week"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2B800A8-C484-4E6B-B9FA-F9CFC471AA1C}" sourceName="category">
  <pivotTables>
    <pivotTable tabId="16" name="PivotTable4"/>
    <pivotTable tabId="16" name="PivotTable10"/>
    <pivotTable tabId="16" name="PivotTable2"/>
    <pivotTable tabId="16" name="PivotTable3"/>
    <pivotTable tabId="16" name="PivotTable5"/>
    <pivotTable tabId="16" name="PivotTable9"/>
    <pivotTable tabId="12" name="PivotTable1"/>
  </pivotTables>
  <data>
    <tabular pivotCacheId="638285641">
      <items count="4">
        <i x="0" s="1"/>
        <i x="2"/>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EF8CDFC-149F-49AC-A4B3-ED983E7A0BC1}" cache="Slicer_category" caption="category" columnCount="4"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613200-7C74-4A68-AAAC-07459662F99D}" name="inventory_appliances__1" displayName="inventory_appliances__1" ref="A1:G501" tableType="queryTable" totalsRowShown="0">
  <autoFilter ref="A1:G501" xr:uid="{D2613200-7C74-4A68-AAAC-07459662F99D}"/>
  <tableColumns count="7">
    <tableColumn id="1" xr3:uid="{742AC2FD-35AE-411D-88C7-2F4E99C52127}" uniqueName="1" name="item_id" queryTableFieldId="1" dataDxfId="23"/>
    <tableColumn id="2" xr3:uid="{460BEBC0-5926-4AE7-8180-B2CACAB928D5}" uniqueName="2" name="item_name" queryTableFieldId="2" dataDxfId="22"/>
    <tableColumn id="3" xr3:uid="{C4F1CE02-1ACA-44A7-A0E0-24521DB045F4}" uniqueName="3" name="category" queryTableFieldId="3" dataDxfId="21"/>
    <tableColumn id="4" xr3:uid="{5CA533A5-B555-4BE2-BF38-0D3DFDF33300}" uniqueName="4" name="stock" queryTableFieldId="4"/>
    <tableColumn id="5" xr3:uid="{F36FC975-6B97-498D-9EB0-AA29D7D801E1}" uniqueName="5" name="reorder_level" queryTableFieldId="5"/>
    <tableColumn id="6" xr3:uid="{09A5EF98-5BE2-424E-B2F6-77576E54189D}" uniqueName="6" name="supplier_id" queryTableFieldId="6" dataDxfId="20"/>
    <tableColumn id="7" xr3:uid="{7667ED66-593A-4C5A-A590-D27C258A60BF}" uniqueName="7" name="price" queryTableFieldId="7"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3D40D7-10E3-41AE-87E1-FCA5E84BEB5B}" name="suppliers_appliances__2" displayName="suppliers_appliances__2" ref="A1:E8" tableType="queryTable" totalsRowShown="0">
  <autoFilter ref="A1:E8" xr:uid="{DF3D40D7-10E3-41AE-87E1-FCA5E84BEB5B}"/>
  <tableColumns count="5">
    <tableColumn id="1" xr3:uid="{FBE8E063-B168-4D3F-9615-5BD33134719A}" uniqueName="1" name="supplier_id" queryTableFieldId="1" dataDxfId="18"/>
    <tableColumn id="2" xr3:uid="{D35F40EC-8D45-431B-BE17-C087ED0475E1}" uniqueName="2" name="supplier_name" queryTableFieldId="2" dataDxfId="17"/>
    <tableColumn id="3" xr3:uid="{C9852981-5670-4DB0-9232-D8292DE1C41D}" uniqueName="3" name="location" queryTableFieldId="3" dataDxfId="16"/>
    <tableColumn id="4" xr3:uid="{0701473F-7EAA-49FC-AB89-8FECEDEFA23E}" uniqueName="4" name="contact_number" queryTableFieldId="4"/>
    <tableColumn id="5" xr3:uid="{068E4629-E3C3-4029-822F-F01F1EA0FFE1}" uniqueName="5" name="rating"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A4D7D4-FD91-4B6E-BA2C-68CF01EC01F3}" name="shipments_appliances__2" displayName="shipments_appliances__2" ref="A1:L501" tableType="queryTable" totalsRowShown="0">
  <autoFilter ref="A1:L501" xr:uid="{89A4D7D4-FD91-4B6E-BA2C-68CF01EC01F3}">
    <filterColumn colId="5">
      <customFilters>
        <customFilter operator="notEqual" val=" "/>
      </customFilters>
    </filterColumn>
  </autoFilter>
  <tableColumns count="12">
    <tableColumn id="1" xr3:uid="{E45110AB-F321-46A8-870A-6EEDCC6D99E9}" uniqueName="1" name="shipment_id" queryTableFieldId="1" dataDxfId="15"/>
    <tableColumn id="2" xr3:uid="{7E63FF8B-2995-4549-9661-3FE93FBCB63D}" uniqueName="2" name="item_id" queryTableFieldId="2" dataDxfId="14"/>
    <tableColumn id="3" xr3:uid="{6DAD7851-9B79-4C36-8C08-735E11F8E067}" uniqueName="3" name="supplier_id" queryTableFieldId="3" dataDxfId="13"/>
    <tableColumn id="4" xr3:uid="{153BF66A-72D3-43F8-B1F8-B479104976C7}" uniqueName="4" name="quantity" queryTableFieldId="4"/>
    <tableColumn id="5" xr3:uid="{CAC3E75C-2C55-4458-94F7-AF0E2AC69545}" uniqueName="5" name="shipment_date" queryTableFieldId="5" dataDxfId="12"/>
    <tableColumn id="6" xr3:uid="{E9AFB978-6992-4B71-9817-EFA6EB70286C}" uniqueName="6" name="delivery_date" queryTableFieldId="6" dataDxfId="11"/>
    <tableColumn id="7" xr3:uid="{35AFA1EC-C8CD-4A31-B62D-5DC24C8D2584}" uniqueName="7" name="status" queryTableFieldId="7" dataDxfId="10"/>
    <tableColumn id="8" xr3:uid="{BDDE2239-3D06-4227-9116-11A3ECAF7629}" uniqueName="8" name="year" queryTableFieldId="8"/>
    <tableColumn id="9" xr3:uid="{0227B252-30E9-4FB4-BDF7-FB83947A14E1}" uniqueName="9" name="month" queryTableFieldId="9"/>
    <tableColumn id="10" xr3:uid="{060F65C3-121F-41C6-87A3-DB9AC371DC1C}" uniqueName="10" name="quarter" queryTableFieldId="10"/>
    <tableColumn id="11" xr3:uid="{F7D75A90-1D4B-4647-B08A-1933CF0655B3}" uniqueName="11" name="week" queryTableFieldId="11"/>
    <tableColumn id="12" xr3:uid="{C9D6D106-EA78-4246-AA11-9E279D0D18CF}" uniqueName="12" name="day" queryTableFieldId="12" dataDxfId="9">
      <calculatedColumnFormula array="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0F4E3A-96B8-4704-8E87-3B723BC619D6}" name="Table5" displayName="Table5" ref="A1:G26" totalsRowShown="0">
  <autoFilter ref="A1:G26" xr:uid="{FE0F4E3A-96B8-4704-8E87-3B723BC619D6}"/>
  <tableColumns count="7">
    <tableColumn id="1" xr3:uid="{8F7F1DDB-550D-4EAB-97C8-FA4E07DF9A7C}" name="item_id"/>
    <tableColumn id="2" xr3:uid="{35FD6B2F-1749-4799-AF2E-0B165F622D9D}" name="item_name"/>
    <tableColumn id="3" xr3:uid="{1B2AC954-B397-4FEF-A285-677503EB9B8B}" name="category"/>
    <tableColumn id="4" xr3:uid="{FFB87F78-F7DF-4C84-A075-C9EF86AD0F09}" name="stock"/>
    <tableColumn id="5" xr3:uid="{43B76BA2-C8FC-49CE-A41F-F9978A7DD91D}" name="reorder_level"/>
    <tableColumn id="6" xr3:uid="{64E26FA4-EF79-4ABB-959D-F15A8ADF741C}" name="supplier_id"/>
    <tableColumn id="7" xr3:uid="{517DDFC5-3511-4F1C-A908-74CEDF2A538B}" name="pri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918A8B3-FAD5-414F-8A1A-1D0996E8E0DA}" name="Table8" displayName="Table8" ref="A1:G135" totalsRowShown="0">
  <autoFilter ref="A1:G135" xr:uid="{D918A8B3-FAD5-414F-8A1A-1D0996E8E0DA}"/>
  <tableColumns count="7">
    <tableColumn id="1" xr3:uid="{9460F8AC-8923-47BE-BEE6-046D72A3D79D}" name="item_id"/>
    <tableColumn id="2" xr3:uid="{7541ED91-A42B-4D2F-8DEB-C542FAB2E33F}" name="item_name"/>
    <tableColumn id="3" xr3:uid="{A78AF5FB-7ED9-4928-ACB1-AC3C08D9EB9E}" name="category"/>
    <tableColumn id="4" xr3:uid="{4FEBF62E-C4E2-4F72-9FAF-E23ABC1DD40F}" name="stock"/>
    <tableColumn id="5" xr3:uid="{A0B8BACE-B1A9-4EAB-A2C8-ED5A13B94490}" name="reorder_level"/>
    <tableColumn id="6" xr3:uid="{FC02E4EE-B0E2-478E-86FD-7664AC581C7D}" name="supplier_id"/>
    <tableColumn id="7" xr3:uid="{0541ECF6-B0FB-493C-81B1-A66206059E9F}" name="pric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288129-8BEF-41F5-B9FA-FEEB2B0C7767}" name="Table6" displayName="Table6" ref="A10:E24" totalsRowShown="0">
  <autoFilter ref="A10:E24" xr:uid="{5E288129-8BEF-41F5-B9FA-FEEB2B0C7767}"/>
  <tableColumns count="5">
    <tableColumn id="1" xr3:uid="{225BB123-7429-4195-B7C3-EF66C1603905}" name="Month"/>
    <tableColumn id="2" xr3:uid="{7497C0D4-D1F8-4A63-A947-5DF990E5F139}" name="Quantity"/>
    <tableColumn id="3" xr3:uid="{F619A8FC-D0AA-4220-8DAE-204EE0248464}" name="Forecast(Quantity)"/>
    <tableColumn id="4" xr3:uid="{3389D23B-ABC1-4450-8439-93ACD1A7BE28}" name="Lower Bound" dataDxfId="5"/>
    <tableColumn id="5" xr3:uid="{1E9C8C7A-0987-43EA-A7EE-58E8B86D7159}" name="Upper Boun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BEFA8E-DC84-4911-A8B6-F1107BDC6FE9}" name="Table7" displayName="Table7" ref="B3:C8" totalsRowShown="0" headerRowDxfId="3" dataDxfId="2">
  <autoFilter ref="B3:C8" xr:uid="{81BEFA8E-DC84-4911-A8B6-F1107BDC6FE9}"/>
  <tableColumns count="2">
    <tableColumn id="1" xr3:uid="{46327405-9C0C-49DC-9C60-AEBF84726A96}" name="Metric" dataDxfId="1"/>
    <tableColumn id="2" xr3:uid="{6ED8CC6F-4293-41DA-B0CF-9F61B01C78C7}" name="Value" dataDxfId="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4166C1-EC63-4100-A7B6-88C0954F4A86}" name="Table4" displayName="Table4" ref="D3:D24" insertRowShift="1" totalsRowShown="0">
  <autoFilter ref="D3:D24" xr:uid="{584166C1-EC63-4100-A7B6-88C0954F4A86}"/>
  <tableColumns count="1">
    <tableColumn id="1" xr3:uid="{F9AB6765-217F-4972-AB14-F5D380AD214D}" name="stock_status">
      <calculatedColumnFormula>IF(GETPIVOTDATA("Sum_stock",$A$3,"item_name","Air Conditioner") &gt; GETPIVOTDATA(" reorder_level",$A$3,"item_name","Air Conditioner"),"Good","Bad")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3671-B6D9-48DA-A773-6BEAA01670DF}">
  <dimension ref="A1:G501"/>
  <sheetViews>
    <sheetView workbookViewId="0">
      <selection activeCell="C2" sqref="C2:C501"/>
    </sheetView>
  </sheetViews>
  <sheetFormatPr defaultRowHeight="14.4" x14ac:dyDescent="0.3"/>
  <cols>
    <col min="1" max="1" width="9.5546875" bestFit="1" customWidth="1"/>
    <col min="2" max="2" width="15.44140625" bestFit="1" customWidth="1"/>
    <col min="3" max="3" width="16.21875" bestFit="1" customWidth="1"/>
    <col min="4" max="4" width="7.6640625" bestFit="1" customWidth="1"/>
    <col min="5" max="5" width="14.33203125" bestFit="1" customWidth="1"/>
    <col min="6" max="6" width="12.44140625" bestFit="1" customWidth="1"/>
    <col min="7" max="7" width="7.5546875" bestFit="1" customWidth="1"/>
  </cols>
  <sheetData>
    <row r="1" spans="1:7" x14ac:dyDescent="0.3">
      <c r="A1" t="s">
        <v>0</v>
      </c>
      <c r="B1" t="s">
        <v>1</v>
      </c>
      <c r="C1" t="s">
        <v>2</v>
      </c>
      <c r="D1" t="s">
        <v>3</v>
      </c>
      <c r="E1" t="s">
        <v>4</v>
      </c>
      <c r="F1" t="s">
        <v>5</v>
      </c>
      <c r="G1" t="s">
        <v>6</v>
      </c>
    </row>
    <row r="2" spans="1:7" x14ac:dyDescent="0.3">
      <c r="A2" t="s">
        <v>7</v>
      </c>
      <c r="B2" t="s">
        <v>8</v>
      </c>
      <c r="C2" t="s">
        <v>9</v>
      </c>
      <c r="D2">
        <v>19</v>
      </c>
      <c r="E2">
        <v>26</v>
      </c>
      <c r="F2" t="s">
        <v>10</v>
      </c>
      <c r="G2" s="9">
        <v>1800</v>
      </c>
    </row>
    <row r="3" spans="1:7" x14ac:dyDescent="0.3">
      <c r="A3" t="s">
        <v>11</v>
      </c>
      <c r="B3" t="s">
        <v>12</v>
      </c>
      <c r="C3" t="s">
        <v>9</v>
      </c>
      <c r="D3">
        <v>85</v>
      </c>
      <c r="E3">
        <v>13</v>
      </c>
      <c r="F3" t="s">
        <v>10</v>
      </c>
      <c r="G3" s="9">
        <v>2000</v>
      </c>
    </row>
    <row r="4" spans="1:7" x14ac:dyDescent="0.3">
      <c r="A4" t="s">
        <v>13</v>
      </c>
      <c r="B4" t="s">
        <v>14</v>
      </c>
      <c r="C4" t="s">
        <v>15</v>
      </c>
      <c r="D4">
        <v>65</v>
      </c>
      <c r="E4">
        <v>26</v>
      </c>
      <c r="F4" t="s">
        <v>16</v>
      </c>
      <c r="G4" s="9">
        <v>1500</v>
      </c>
    </row>
    <row r="5" spans="1:7" x14ac:dyDescent="0.3">
      <c r="A5" t="s">
        <v>17</v>
      </c>
      <c r="B5" t="s">
        <v>18</v>
      </c>
      <c r="C5" t="s">
        <v>15</v>
      </c>
      <c r="D5">
        <v>69</v>
      </c>
      <c r="E5">
        <v>17</v>
      </c>
      <c r="F5" t="s">
        <v>19</v>
      </c>
      <c r="G5" s="9">
        <v>11500</v>
      </c>
    </row>
    <row r="6" spans="1:7" x14ac:dyDescent="0.3">
      <c r="A6" t="s">
        <v>20</v>
      </c>
      <c r="B6" t="s">
        <v>21</v>
      </c>
      <c r="C6" t="s">
        <v>9</v>
      </c>
      <c r="D6">
        <v>93</v>
      </c>
      <c r="E6">
        <v>17</v>
      </c>
      <c r="F6" t="s">
        <v>22</v>
      </c>
      <c r="G6" s="9">
        <v>2500</v>
      </c>
    </row>
    <row r="7" spans="1:7" x14ac:dyDescent="0.3">
      <c r="A7" t="s">
        <v>23</v>
      </c>
      <c r="B7" t="s">
        <v>8</v>
      </c>
      <c r="C7" t="s">
        <v>15</v>
      </c>
      <c r="D7">
        <v>20</v>
      </c>
      <c r="E7">
        <v>7</v>
      </c>
      <c r="F7" t="s">
        <v>22</v>
      </c>
      <c r="G7" s="9">
        <v>1800</v>
      </c>
    </row>
    <row r="8" spans="1:7" x14ac:dyDescent="0.3">
      <c r="A8" t="s">
        <v>24</v>
      </c>
      <c r="B8" t="s">
        <v>25</v>
      </c>
      <c r="C8" t="s">
        <v>26</v>
      </c>
      <c r="D8">
        <v>82</v>
      </c>
      <c r="E8">
        <v>14</v>
      </c>
      <c r="F8" t="s">
        <v>19</v>
      </c>
      <c r="G8" s="9">
        <v>18000</v>
      </c>
    </row>
    <row r="9" spans="1:7" x14ac:dyDescent="0.3">
      <c r="A9" t="s">
        <v>27</v>
      </c>
      <c r="B9" t="s">
        <v>28</v>
      </c>
      <c r="C9" t="s">
        <v>26</v>
      </c>
      <c r="D9">
        <v>36</v>
      </c>
      <c r="E9">
        <v>15</v>
      </c>
      <c r="F9" t="s">
        <v>29</v>
      </c>
      <c r="G9" s="9">
        <v>3500</v>
      </c>
    </row>
    <row r="10" spans="1:7" x14ac:dyDescent="0.3">
      <c r="A10" t="s">
        <v>30</v>
      </c>
      <c r="B10" t="s">
        <v>31</v>
      </c>
      <c r="C10" t="s">
        <v>26</v>
      </c>
      <c r="D10">
        <v>40</v>
      </c>
      <c r="E10">
        <v>9</v>
      </c>
      <c r="F10" t="s">
        <v>29</v>
      </c>
      <c r="G10" s="9">
        <v>3000</v>
      </c>
    </row>
    <row r="11" spans="1:7" x14ac:dyDescent="0.3">
      <c r="A11" t="s">
        <v>32</v>
      </c>
      <c r="B11" t="s">
        <v>8</v>
      </c>
      <c r="C11" t="s">
        <v>33</v>
      </c>
      <c r="D11">
        <v>59</v>
      </c>
      <c r="E11">
        <v>34</v>
      </c>
      <c r="F11" t="s">
        <v>10</v>
      </c>
      <c r="G11" s="9">
        <v>1800</v>
      </c>
    </row>
    <row r="12" spans="1:7" x14ac:dyDescent="0.3">
      <c r="A12" t="s">
        <v>34</v>
      </c>
      <c r="B12" t="s">
        <v>25</v>
      </c>
      <c r="C12" t="s">
        <v>15</v>
      </c>
      <c r="D12">
        <v>61</v>
      </c>
      <c r="E12">
        <v>16</v>
      </c>
      <c r="F12" t="s">
        <v>22</v>
      </c>
      <c r="G12" s="9">
        <v>18000</v>
      </c>
    </row>
    <row r="13" spans="1:7" x14ac:dyDescent="0.3">
      <c r="A13" t="s">
        <v>35</v>
      </c>
      <c r="B13" t="s">
        <v>18</v>
      </c>
      <c r="C13" t="s">
        <v>26</v>
      </c>
      <c r="D13">
        <v>50</v>
      </c>
      <c r="E13">
        <v>16</v>
      </c>
      <c r="F13" t="s">
        <v>16</v>
      </c>
      <c r="G13" s="9">
        <v>11500</v>
      </c>
    </row>
    <row r="14" spans="1:7" x14ac:dyDescent="0.3">
      <c r="A14" t="s">
        <v>36</v>
      </c>
      <c r="B14" t="s">
        <v>14</v>
      </c>
      <c r="C14" t="s">
        <v>15</v>
      </c>
      <c r="D14">
        <v>81</v>
      </c>
      <c r="E14">
        <v>32</v>
      </c>
      <c r="F14" t="s">
        <v>19</v>
      </c>
      <c r="G14" s="9">
        <v>1500</v>
      </c>
    </row>
    <row r="15" spans="1:7" x14ac:dyDescent="0.3">
      <c r="A15" t="s">
        <v>37</v>
      </c>
      <c r="B15" t="s">
        <v>38</v>
      </c>
      <c r="C15" t="s">
        <v>33</v>
      </c>
      <c r="D15">
        <v>19</v>
      </c>
      <c r="E15">
        <v>14</v>
      </c>
      <c r="F15" t="s">
        <v>29</v>
      </c>
      <c r="G15" s="9">
        <v>1500</v>
      </c>
    </row>
    <row r="16" spans="1:7" x14ac:dyDescent="0.3">
      <c r="A16" t="s">
        <v>39</v>
      </c>
      <c r="B16" t="s">
        <v>40</v>
      </c>
      <c r="C16" t="s">
        <v>33</v>
      </c>
      <c r="D16">
        <v>89</v>
      </c>
      <c r="E16">
        <v>8</v>
      </c>
      <c r="F16" t="s">
        <v>19</v>
      </c>
      <c r="G16" s="9">
        <v>17500</v>
      </c>
    </row>
    <row r="17" spans="1:7" x14ac:dyDescent="0.3">
      <c r="A17" t="s">
        <v>41</v>
      </c>
      <c r="B17" t="s">
        <v>18</v>
      </c>
      <c r="C17" t="s">
        <v>9</v>
      </c>
      <c r="D17">
        <v>52</v>
      </c>
      <c r="E17">
        <v>7</v>
      </c>
      <c r="F17" t="s">
        <v>16</v>
      </c>
      <c r="G17" s="9">
        <v>11500</v>
      </c>
    </row>
    <row r="18" spans="1:7" x14ac:dyDescent="0.3">
      <c r="A18" t="s">
        <v>42</v>
      </c>
      <c r="B18" t="s">
        <v>43</v>
      </c>
      <c r="C18" t="s">
        <v>9</v>
      </c>
      <c r="D18">
        <v>69</v>
      </c>
      <c r="E18">
        <v>8</v>
      </c>
      <c r="F18" t="s">
        <v>22</v>
      </c>
      <c r="G18" s="9">
        <v>2000</v>
      </c>
    </row>
    <row r="19" spans="1:7" x14ac:dyDescent="0.3">
      <c r="A19" t="s">
        <v>44</v>
      </c>
      <c r="B19" t="s">
        <v>45</v>
      </c>
      <c r="C19" t="s">
        <v>15</v>
      </c>
      <c r="D19">
        <v>82</v>
      </c>
      <c r="E19">
        <v>19</v>
      </c>
      <c r="F19" t="s">
        <v>22</v>
      </c>
      <c r="G19" s="9">
        <v>12000</v>
      </c>
    </row>
    <row r="20" spans="1:7" x14ac:dyDescent="0.3">
      <c r="A20" t="s">
        <v>46</v>
      </c>
      <c r="B20" t="s">
        <v>18</v>
      </c>
      <c r="C20" t="s">
        <v>26</v>
      </c>
      <c r="D20">
        <v>106</v>
      </c>
      <c r="E20">
        <v>30</v>
      </c>
      <c r="F20" t="s">
        <v>10</v>
      </c>
      <c r="G20" s="9">
        <v>11500</v>
      </c>
    </row>
    <row r="21" spans="1:7" x14ac:dyDescent="0.3">
      <c r="A21" t="s">
        <v>47</v>
      </c>
      <c r="B21" t="s">
        <v>48</v>
      </c>
      <c r="C21" t="s">
        <v>9</v>
      </c>
      <c r="D21">
        <v>69</v>
      </c>
      <c r="E21">
        <v>13</v>
      </c>
      <c r="F21" t="s">
        <v>22</v>
      </c>
      <c r="G21" s="9">
        <v>10000</v>
      </c>
    </row>
    <row r="22" spans="1:7" x14ac:dyDescent="0.3">
      <c r="A22" t="s">
        <v>49</v>
      </c>
      <c r="B22" t="s">
        <v>45</v>
      </c>
      <c r="C22" t="s">
        <v>33</v>
      </c>
      <c r="D22">
        <v>44</v>
      </c>
      <c r="E22">
        <v>14</v>
      </c>
      <c r="F22" t="s">
        <v>10</v>
      </c>
      <c r="G22" s="9">
        <v>12000</v>
      </c>
    </row>
    <row r="23" spans="1:7" x14ac:dyDescent="0.3">
      <c r="A23" t="s">
        <v>50</v>
      </c>
      <c r="B23" t="s">
        <v>14</v>
      </c>
      <c r="C23" t="s">
        <v>15</v>
      </c>
      <c r="D23">
        <v>85</v>
      </c>
      <c r="E23">
        <v>22</v>
      </c>
      <c r="F23" t="s">
        <v>16</v>
      </c>
      <c r="G23" s="9">
        <v>1500</v>
      </c>
    </row>
    <row r="24" spans="1:7" x14ac:dyDescent="0.3">
      <c r="A24" t="s">
        <v>51</v>
      </c>
      <c r="B24" t="s">
        <v>31</v>
      </c>
      <c r="C24" t="s">
        <v>26</v>
      </c>
      <c r="D24">
        <v>36</v>
      </c>
      <c r="E24">
        <v>28</v>
      </c>
      <c r="F24" t="s">
        <v>16</v>
      </c>
      <c r="G24" s="9">
        <v>3000</v>
      </c>
    </row>
    <row r="25" spans="1:7" x14ac:dyDescent="0.3">
      <c r="A25" t="s">
        <v>52</v>
      </c>
      <c r="B25" t="s">
        <v>53</v>
      </c>
      <c r="C25" t="s">
        <v>33</v>
      </c>
      <c r="D25">
        <v>88</v>
      </c>
      <c r="E25">
        <v>30</v>
      </c>
      <c r="F25" t="s">
        <v>22</v>
      </c>
      <c r="G25" s="9">
        <v>4500</v>
      </c>
    </row>
    <row r="26" spans="1:7" x14ac:dyDescent="0.3">
      <c r="A26" t="s">
        <v>54</v>
      </c>
      <c r="B26" t="s">
        <v>14</v>
      </c>
      <c r="C26" t="s">
        <v>9</v>
      </c>
      <c r="D26">
        <v>106</v>
      </c>
      <c r="E26">
        <v>23</v>
      </c>
      <c r="F26" t="s">
        <v>19</v>
      </c>
      <c r="G26" s="9">
        <v>1500</v>
      </c>
    </row>
    <row r="27" spans="1:7" x14ac:dyDescent="0.3">
      <c r="A27" t="s">
        <v>55</v>
      </c>
      <c r="B27" t="s">
        <v>38</v>
      </c>
      <c r="C27" t="s">
        <v>33</v>
      </c>
      <c r="D27">
        <v>68</v>
      </c>
      <c r="E27">
        <v>11</v>
      </c>
      <c r="F27" t="s">
        <v>10</v>
      </c>
      <c r="G27" s="9">
        <v>1500</v>
      </c>
    </row>
    <row r="28" spans="1:7" x14ac:dyDescent="0.3">
      <c r="A28" t="s">
        <v>56</v>
      </c>
      <c r="B28" t="s">
        <v>28</v>
      </c>
      <c r="C28" t="s">
        <v>15</v>
      </c>
      <c r="D28">
        <v>18</v>
      </c>
      <c r="E28">
        <v>20</v>
      </c>
      <c r="F28" t="s">
        <v>16</v>
      </c>
      <c r="G28" s="9">
        <v>3500</v>
      </c>
    </row>
    <row r="29" spans="1:7" x14ac:dyDescent="0.3">
      <c r="A29" t="s">
        <v>57</v>
      </c>
      <c r="B29" t="s">
        <v>58</v>
      </c>
      <c r="C29" t="s">
        <v>33</v>
      </c>
      <c r="D29">
        <v>93</v>
      </c>
      <c r="E29">
        <v>5</v>
      </c>
      <c r="F29" t="s">
        <v>22</v>
      </c>
      <c r="G29" s="9">
        <v>1000</v>
      </c>
    </row>
    <row r="30" spans="1:7" x14ac:dyDescent="0.3">
      <c r="A30" t="s">
        <v>59</v>
      </c>
      <c r="B30" t="s">
        <v>28</v>
      </c>
      <c r="C30" t="s">
        <v>15</v>
      </c>
      <c r="D30">
        <v>88</v>
      </c>
      <c r="E30">
        <v>31</v>
      </c>
      <c r="F30" t="s">
        <v>16</v>
      </c>
      <c r="G30" s="9">
        <v>3500</v>
      </c>
    </row>
    <row r="31" spans="1:7" x14ac:dyDescent="0.3">
      <c r="A31" t="s">
        <v>60</v>
      </c>
      <c r="B31" t="s">
        <v>61</v>
      </c>
      <c r="C31" t="s">
        <v>33</v>
      </c>
      <c r="D31">
        <v>43</v>
      </c>
      <c r="E31">
        <v>14</v>
      </c>
      <c r="F31" t="s">
        <v>19</v>
      </c>
      <c r="G31" s="9">
        <v>1200</v>
      </c>
    </row>
    <row r="32" spans="1:7" x14ac:dyDescent="0.3">
      <c r="A32" t="s">
        <v>62</v>
      </c>
      <c r="B32" t="s">
        <v>63</v>
      </c>
      <c r="C32" t="s">
        <v>9</v>
      </c>
      <c r="D32">
        <v>75</v>
      </c>
      <c r="E32">
        <v>11</v>
      </c>
      <c r="F32" t="s">
        <v>29</v>
      </c>
      <c r="G32" s="9">
        <v>800</v>
      </c>
    </row>
    <row r="33" spans="1:7" x14ac:dyDescent="0.3">
      <c r="A33" t="s">
        <v>64</v>
      </c>
      <c r="B33" t="s">
        <v>65</v>
      </c>
      <c r="C33" t="s">
        <v>9</v>
      </c>
      <c r="D33">
        <v>12</v>
      </c>
      <c r="E33">
        <v>9</v>
      </c>
      <c r="F33" t="s">
        <v>22</v>
      </c>
      <c r="G33" s="9">
        <v>5500</v>
      </c>
    </row>
    <row r="34" spans="1:7" x14ac:dyDescent="0.3">
      <c r="A34" t="s">
        <v>66</v>
      </c>
      <c r="B34" t="s">
        <v>21</v>
      </c>
      <c r="C34" t="s">
        <v>26</v>
      </c>
      <c r="D34">
        <v>99</v>
      </c>
      <c r="E34">
        <v>9</v>
      </c>
      <c r="F34" t="s">
        <v>19</v>
      </c>
      <c r="G34" s="9">
        <v>2500</v>
      </c>
    </row>
    <row r="35" spans="1:7" x14ac:dyDescent="0.3">
      <c r="A35" t="s">
        <v>67</v>
      </c>
      <c r="B35" t="s">
        <v>8</v>
      </c>
      <c r="C35" t="s">
        <v>15</v>
      </c>
      <c r="D35">
        <v>36</v>
      </c>
      <c r="E35">
        <v>9</v>
      </c>
      <c r="F35" t="s">
        <v>10</v>
      </c>
      <c r="G35" s="9">
        <v>1800</v>
      </c>
    </row>
    <row r="36" spans="1:7" x14ac:dyDescent="0.3">
      <c r="A36" t="s">
        <v>68</v>
      </c>
      <c r="B36" t="s">
        <v>48</v>
      </c>
      <c r="C36" t="s">
        <v>15</v>
      </c>
      <c r="D36">
        <v>97</v>
      </c>
      <c r="E36">
        <v>16</v>
      </c>
      <c r="F36" t="s">
        <v>19</v>
      </c>
      <c r="G36" s="9">
        <v>10000</v>
      </c>
    </row>
    <row r="37" spans="1:7" x14ac:dyDescent="0.3">
      <c r="A37" t="s">
        <v>69</v>
      </c>
      <c r="B37" t="s">
        <v>65</v>
      </c>
      <c r="C37" t="s">
        <v>33</v>
      </c>
      <c r="D37">
        <v>61</v>
      </c>
      <c r="E37">
        <v>31</v>
      </c>
      <c r="F37" t="s">
        <v>29</v>
      </c>
      <c r="G37" s="9">
        <v>5500</v>
      </c>
    </row>
    <row r="38" spans="1:7" x14ac:dyDescent="0.3">
      <c r="A38" t="s">
        <v>70</v>
      </c>
      <c r="B38" t="s">
        <v>71</v>
      </c>
      <c r="C38" t="s">
        <v>15</v>
      </c>
      <c r="D38">
        <v>22</v>
      </c>
      <c r="E38">
        <v>6</v>
      </c>
      <c r="F38" t="s">
        <v>29</v>
      </c>
      <c r="G38" s="9">
        <v>9000</v>
      </c>
    </row>
    <row r="39" spans="1:7" x14ac:dyDescent="0.3">
      <c r="A39" t="s">
        <v>72</v>
      </c>
      <c r="B39" t="s">
        <v>31</v>
      </c>
      <c r="C39" t="s">
        <v>33</v>
      </c>
      <c r="D39">
        <v>59</v>
      </c>
      <c r="E39">
        <v>16</v>
      </c>
      <c r="F39" t="s">
        <v>10</v>
      </c>
      <c r="G39" s="9">
        <v>3000</v>
      </c>
    </row>
    <row r="40" spans="1:7" x14ac:dyDescent="0.3">
      <c r="A40" t="s">
        <v>73</v>
      </c>
      <c r="B40" t="s">
        <v>61</v>
      </c>
      <c r="C40" t="s">
        <v>26</v>
      </c>
      <c r="D40">
        <v>22</v>
      </c>
      <c r="E40">
        <v>23</v>
      </c>
      <c r="F40" t="s">
        <v>22</v>
      </c>
      <c r="G40" s="9">
        <v>1200</v>
      </c>
    </row>
    <row r="41" spans="1:7" x14ac:dyDescent="0.3">
      <c r="A41" t="s">
        <v>74</v>
      </c>
      <c r="B41" t="s">
        <v>25</v>
      </c>
      <c r="C41" t="s">
        <v>33</v>
      </c>
      <c r="D41">
        <v>49</v>
      </c>
      <c r="E41">
        <v>25</v>
      </c>
      <c r="F41" t="s">
        <v>10</v>
      </c>
      <c r="G41" s="9">
        <v>18000</v>
      </c>
    </row>
    <row r="42" spans="1:7" x14ac:dyDescent="0.3">
      <c r="A42" t="s">
        <v>75</v>
      </c>
      <c r="B42" t="s">
        <v>31</v>
      </c>
      <c r="C42" t="s">
        <v>15</v>
      </c>
      <c r="D42">
        <v>17</v>
      </c>
      <c r="E42">
        <v>17</v>
      </c>
      <c r="F42" t="s">
        <v>19</v>
      </c>
      <c r="G42" s="9">
        <v>3000</v>
      </c>
    </row>
    <row r="43" spans="1:7" x14ac:dyDescent="0.3">
      <c r="A43" t="s">
        <v>76</v>
      </c>
      <c r="B43" t="s">
        <v>18</v>
      </c>
      <c r="C43" t="s">
        <v>9</v>
      </c>
      <c r="D43">
        <v>21</v>
      </c>
      <c r="E43">
        <v>13</v>
      </c>
      <c r="F43" t="s">
        <v>19</v>
      </c>
      <c r="G43" s="9">
        <v>11500</v>
      </c>
    </row>
    <row r="44" spans="1:7" x14ac:dyDescent="0.3">
      <c r="A44" t="s">
        <v>77</v>
      </c>
      <c r="B44" t="s">
        <v>21</v>
      </c>
      <c r="C44" t="s">
        <v>9</v>
      </c>
      <c r="D44">
        <v>43</v>
      </c>
      <c r="E44">
        <v>27</v>
      </c>
      <c r="F44" t="s">
        <v>16</v>
      </c>
      <c r="G44" s="9">
        <v>2500</v>
      </c>
    </row>
    <row r="45" spans="1:7" x14ac:dyDescent="0.3">
      <c r="A45" t="s">
        <v>78</v>
      </c>
      <c r="B45" t="s">
        <v>21</v>
      </c>
      <c r="C45" t="s">
        <v>15</v>
      </c>
      <c r="D45">
        <v>68</v>
      </c>
      <c r="E45">
        <v>34</v>
      </c>
      <c r="F45" t="s">
        <v>29</v>
      </c>
      <c r="G45" s="9">
        <v>2500</v>
      </c>
    </row>
    <row r="46" spans="1:7" x14ac:dyDescent="0.3">
      <c r="A46" t="s">
        <v>79</v>
      </c>
      <c r="B46" t="s">
        <v>18</v>
      </c>
      <c r="C46" t="s">
        <v>26</v>
      </c>
      <c r="D46">
        <v>12</v>
      </c>
      <c r="E46">
        <v>13</v>
      </c>
      <c r="F46" t="s">
        <v>10</v>
      </c>
      <c r="G46" s="9">
        <v>11500</v>
      </c>
    </row>
    <row r="47" spans="1:7" x14ac:dyDescent="0.3">
      <c r="A47" t="s">
        <v>80</v>
      </c>
      <c r="B47" t="s">
        <v>21</v>
      </c>
      <c r="C47" t="s">
        <v>9</v>
      </c>
      <c r="D47">
        <v>35</v>
      </c>
      <c r="E47">
        <v>5</v>
      </c>
      <c r="F47" t="s">
        <v>16</v>
      </c>
      <c r="G47" s="9">
        <v>2500</v>
      </c>
    </row>
    <row r="48" spans="1:7" x14ac:dyDescent="0.3">
      <c r="A48" t="s">
        <v>81</v>
      </c>
      <c r="B48" t="s">
        <v>48</v>
      </c>
      <c r="C48" t="s">
        <v>9</v>
      </c>
      <c r="D48">
        <v>68</v>
      </c>
      <c r="E48">
        <v>19</v>
      </c>
      <c r="F48" t="s">
        <v>19</v>
      </c>
      <c r="G48" s="9">
        <v>10000</v>
      </c>
    </row>
    <row r="49" spans="1:7" x14ac:dyDescent="0.3">
      <c r="A49" t="s">
        <v>82</v>
      </c>
      <c r="B49" t="s">
        <v>43</v>
      </c>
      <c r="C49" t="s">
        <v>9</v>
      </c>
      <c r="D49">
        <v>75</v>
      </c>
      <c r="E49">
        <v>27</v>
      </c>
      <c r="F49" t="s">
        <v>10</v>
      </c>
      <c r="G49" s="9">
        <v>2000</v>
      </c>
    </row>
    <row r="50" spans="1:7" x14ac:dyDescent="0.3">
      <c r="A50" t="s">
        <v>83</v>
      </c>
      <c r="B50" t="s">
        <v>25</v>
      </c>
      <c r="C50" t="s">
        <v>26</v>
      </c>
      <c r="D50">
        <v>70</v>
      </c>
      <c r="E50">
        <v>15</v>
      </c>
      <c r="F50" t="s">
        <v>10</v>
      </c>
      <c r="G50" s="9">
        <v>18000</v>
      </c>
    </row>
    <row r="51" spans="1:7" x14ac:dyDescent="0.3">
      <c r="A51" t="s">
        <v>84</v>
      </c>
      <c r="B51" t="s">
        <v>18</v>
      </c>
      <c r="C51" t="s">
        <v>9</v>
      </c>
      <c r="D51">
        <v>15</v>
      </c>
      <c r="E51">
        <v>28</v>
      </c>
      <c r="F51" t="s">
        <v>10</v>
      </c>
      <c r="G51" s="9">
        <v>11500</v>
      </c>
    </row>
    <row r="52" spans="1:7" x14ac:dyDescent="0.3">
      <c r="A52" t="s">
        <v>85</v>
      </c>
      <c r="B52" t="s">
        <v>63</v>
      </c>
      <c r="C52" t="s">
        <v>26</v>
      </c>
      <c r="D52">
        <v>41</v>
      </c>
      <c r="E52">
        <v>6</v>
      </c>
      <c r="F52" t="s">
        <v>10</v>
      </c>
      <c r="G52" s="9">
        <v>800</v>
      </c>
    </row>
    <row r="53" spans="1:7" x14ac:dyDescent="0.3">
      <c r="A53" t="s">
        <v>86</v>
      </c>
      <c r="B53" t="s">
        <v>25</v>
      </c>
      <c r="C53" t="s">
        <v>9</v>
      </c>
      <c r="D53">
        <v>40</v>
      </c>
      <c r="E53">
        <v>8</v>
      </c>
      <c r="F53" t="s">
        <v>10</v>
      </c>
      <c r="G53" s="9">
        <v>18000</v>
      </c>
    </row>
    <row r="54" spans="1:7" x14ac:dyDescent="0.3">
      <c r="A54" t="s">
        <v>87</v>
      </c>
      <c r="B54" t="s">
        <v>31</v>
      </c>
      <c r="C54" t="s">
        <v>26</v>
      </c>
      <c r="D54">
        <v>55</v>
      </c>
      <c r="E54">
        <v>7</v>
      </c>
      <c r="F54" t="s">
        <v>22</v>
      </c>
      <c r="G54" s="9">
        <v>3000</v>
      </c>
    </row>
    <row r="55" spans="1:7" x14ac:dyDescent="0.3">
      <c r="A55" t="s">
        <v>88</v>
      </c>
      <c r="B55" t="s">
        <v>43</v>
      </c>
      <c r="C55" t="s">
        <v>33</v>
      </c>
      <c r="D55">
        <v>77</v>
      </c>
      <c r="E55">
        <v>32</v>
      </c>
      <c r="F55" t="s">
        <v>10</v>
      </c>
      <c r="G55" s="9">
        <v>2000</v>
      </c>
    </row>
    <row r="56" spans="1:7" x14ac:dyDescent="0.3">
      <c r="A56" t="s">
        <v>89</v>
      </c>
      <c r="B56" t="s">
        <v>71</v>
      </c>
      <c r="C56" t="s">
        <v>15</v>
      </c>
      <c r="D56">
        <v>83</v>
      </c>
      <c r="E56">
        <v>12</v>
      </c>
      <c r="F56" t="s">
        <v>22</v>
      </c>
      <c r="G56" s="9">
        <v>9000</v>
      </c>
    </row>
    <row r="57" spans="1:7" x14ac:dyDescent="0.3">
      <c r="A57" t="s">
        <v>90</v>
      </c>
      <c r="B57" t="s">
        <v>58</v>
      </c>
      <c r="C57" t="s">
        <v>26</v>
      </c>
      <c r="D57">
        <v>64</v>
      </c>
      <c r="E57">
        <v>21</v>
      </c>
      <c r="F57" t="s">
        <v>22</v>
      </c>
      <c r="G57" s="9">
        <v>1000</v>
      </c>
    </row>
    <row r="58" spans="1:7" x14ac:dyDescent="0.3">
      <c r="A58" t="s">
        <v>91</v>
      </c>
      <c r="B58" t="s">
        <v>43</v>
      </c>
      <c r="C58" t="s">
        <v>9</v>
      </c>
      <c r="D58">
        <v>11</v>
      </c>
      <c r="E58">
        <v>28</v>
      </c>
      <c r="F58" t="s">
        <v>22</v>
      </c>
      <c r="G58" s="9">
        <v>2000</v>
      </c>
    </row>
    <row r="59" spans="1:7" x14ac:dyDescent="0.3">
      <c r="A59" t="s">
        <v>92</v>
      </c>
      <c r="B59" t="s">
        <v>61</v>
      </c>
      <c r="C59" t="s">
        <v>33</v>
      </c>
      <c r="D59">
        <v>45</v>
      </c>
      <c r="E59">
        <v>20</v>
      </c>
      <c r="F59" t="s">
        <v>10</v>
      </c>
      <c r="G59" s="9">
        <v>1200</v>
      </c>
    </row>
    <row r="60" spans="1:7" x14ac:dyDescent="0.3">
      <c r="A60" t="s">
        <v>93</v>
      </c>
      <c r="B60" t="s">
        <v>63</v>
      </c>
      <c r="C60" t="s">
        <v>33</v>
      </c>
      <c r="D60">
        <v>47</v>
      </c>
      <c r="E60">
        <v>13</v>
      </c>
      <c r="F60" t="s">
        <v>22</v>
      </c>
      <c r="G60" s="9">
        <v>800</v>
      </c>
    </row>
    <row r="61" spans="1:7" x14ac:dyDescent="0.3">
      <c r="A61" t="s">
        <v>94</v>
      </c>
      <c r="B61" t="s">
        <v>43</v>
      </c>
      <c r="C61" t="s">
        <v>9</v>
      </c>
      <c r="D61">
        <v>103</v>
      </c>
      <c r="E61">
        <v>5</v>
      </c>
      <c r="F61" t="s">
        <v>29</v>
      </c>
      <c r="G61" s="9">
        <v>2000</v>
      </c>
    </row>
    <row r="62" spans="1:7" x14ac:dyDescent="0.3">
      <c r="A62" t="s">
        <v>95</v>
      </c>
      <c r="B62" t="s">
        <v>53</v>
      </c>
      <c r="C62" t="s">
        <v>15</v>
      </c>
      <c r="D62">
        <v>14</v>
      </c>
      <c r="E62">
        <v>19</v>
      </c>
      <c r="F62" t="s">
        <v>22</v>
      </c>
      <c r="G62" s="9">
        <v>4500</v>
      </c>
    </row>
    <row r="63" spans="1:7" x14ac:dyDescent="0.3">
      <c r="A63" t="s">
        <v>96</v>
      </c>
      <c r="B63" t="s">
        <v>61</v>
      </c>
      <c r="C63" t="s">
        <v>33</v>
      </c>
      <c r="D63">
        <v>66</v>
      </c>
      <c r="E63">
        <v>24</v>
      </c>
      <c r="F63" t="s">
        <v>22</v>
      </c>
      <c r="G63" s="9">
        <v>1200</v>
      </c>
    </row>
    <row r="64" spans="1:7" x14ac:dyDescent="0.3">
      <c r="A64" t="s">
        <v>97</v>
      </c>
      <c r="B64" t="s">
        <v>53</v>
      </c>
      <c r="C64" t="s">
        <v>26</v>
      </c>
      <c r="D64">
        <v>53</v>
      </c>
      <c r="E64">
        <v>17</v>
      </c>
      <c r="F64" t="s">
        <v>10</v>
      </c>
      <c r="G64" s="9">
        <v>4500</v>
      </c>
    </row>
    <row r="65" spans="1:7" x14ac:dyDescent="0.3">
      <c r="A65" t="s">
        <v>98</v>
      </c>
      <c r="B65" t="s">
        <v>45</v>
      </c>
      <c r="C65" t="s">
        <v>26</v>
      </c>
      <c r="D65">
        <v>24</v>
      </c>
      <c r="E65">
        <v>7</v>
      </c>
      <c r="F65" t="s">
        <v>10</v>
      </c>
      <c r="G65" s="9">
        <v>12000</v>
      </c>
    </row>
    <row r="66" spans="1:7" x14ac:dyDescent="0.3">
      <c r="A66" t="s">
        <v>99</v>
      </c>
      <c r="B66" t="s">
        <v>40</v>
      </c>
      <c r="C66" t="s">
        <v>26</v>
      </c>
      <c r="D66">
        <v>52</v>
      </c>
      <c r="E66">
        <v>6</v>
      </c>
      <c r="F66" t="s">
        <v>22</v>
      </c>
      <c r="G66" s="9">
        <v>17500</v>
      </c>
    </row>
    <row r="67" spans="1:7" x14ac:dyDescent="0.3">
      <c r="A67" t="s">
        <v>100</v>
      </c>
      <c r="B67" t="s">
        <v>28</v>
      </c>
      <c r="C67" t="s">
        <v>15</v>
      </c>
      <c r="D67">
        <v>105</v>
      </c>
      <c r="E67">
        <v>24</v>
      </c>
      <c r="F67" t="s">
        <v>16</v>
      </c>
      <c r="G67" s="9">
        <v>3500</v>
      </c>
    </row>
    <row r="68" spans="1:7" x14ac:dyDescent="0.3">
      <c r="A68" t="s">
        <v>101</v>
      </c>
      <c r="B68" t="s">
        <v>71</v>
      </c>
      <c r="C68" t="s">
        <v>9</v>
      </c>
      <c r="D68">
        <v>92</v>
      </c>
      <c r="E68">
        <v>33</v>
      </c>
      <c r="F68" t="s">
        <v>19</v>
      </c>
      <c r="G68" s="9">
        <v>9000</v>
      </c>
    </row>
    <row r="69" spans="1:7" x14ac:dyDescent="0.3">
      <c r="A69" t="s">
        <v>102</v>
      </c>
      <c r="B69" t="s">
        <v>61</v>
      </c>
      <c r="C69" t="s">
        <v>33</v>
      </c>
      <c r="D69">
        <v>20</v>
      </c>
      <c r="E69">
        <v>30</v>
      </c>
      <c r="F69" t="s">
        <v>22</v>
      </c>
      <c r="G69" s="9">
        <v>1200</v>
      </c>
    </row>
    <row r="70" spans="1:7" x14ac:dyDescent="0.3">
      <c r="A70" t="s">
        <v>103</v>
      </c>
      <c r="B70" t="s">
        <v>28</v>
      </c>
      <c r="C70" t="s">
        <v>15</v>
      </c>
      <c r="D70">
        <v>98</v>
      </c>
      <c r="E70">
        <v>33</v>
      </c>
      <c r="F70" t="s">
        <v>29</v>
      </c>
      <c r="G70" s="9">
        <v>3500</v>
      </c>
    </row>
    <row r="71" spans="1:7" x14ac:dyDescent="0.3">
      <c r="A71" t="s">
        <v>104</v>
      </c>
      <c r="B71" t="s">
        <v>71</v>
      </c>
      <c r="C71" t="s">
        <v>26</v>
      </c>
      <c r="D71">
        <v>48</v>
      </c>
      <c r="E71">
        <v>18</v>
      </c>
      <c r="F71" t="s">
        <v>16</v>
      </c>
      <c r="G71" s="9">
        <v>9000</v>
      </c>
    </row>
    <row r="72" spans="1:7" x14ac:dyDescent="0.3">
      <c r="A72" t="s">
        <v>105</v>
      </c>
      <c r="B72" t="s">
        <v>71</v>
      </c>
      <c r="C72" t="s">
        <v>33</v>
      </c>
      <c r="D72">
        <v>43</v>
      </c>
      <c r="E72">
        <v>28</v>
      </c>
      <c r="F72" t="s">
        <v>19</v>
      </c>
      <c r="G72" s="9">
        <v>9000</v>
      </c>
    </row>
    <row r="73" spans="1:7" x14ac:dyDescent="0.3">
      <c r="A73" t="s">
        <v>106</v>
      </c>
      <c r="B73" t="s">
        <v>63</v>
      </c>
      <c r="C73" t="s">
        <v>9</v>
      </c>
      <c r="D73">
        <v>41</v>
      </c>
      <c r="E73">
        <v>24</v>
      </c>
      <c r="F73" t="s">
        <v>29</v>
      </c>
      <c r="G73" s="9">
        <v>800</v>
      </c>
    </row>
    <row r="74" spans="1:7" x14ac:dyDescent="0.3">
      <c r="A74" t="s">
        <v>107</v>
      </c>
      <c r="B74" t="s">
        <v>40</v>
      </c>
      <c r="C74" t="s">
        <v>33</v>
      </c>
      <c r="D74">
        <v>96</v>
      </c>
      <c r="E74">
        <v>20</v>
      </c>
      <c r="F74" t="s">
        <v>16</v>
      </c>
      <c r="G74" s="9">
        <v>17500</v>
      </c>
    </row>
    <row r="75" spans="1:7" x14ac:dyDescent="0.3">
      <c r="A75" t="s">
        <v>108</v>
      </c>
      <c r="B75" t="s">
        <v>21</v>
      </c>
      <c r="C75" t="s">
        <v>33</v>
      </c>
      <c r="D75">
        <v>69</v>
      </c>
      <c r="E75">
        <v>20</v>
      </c>
      <c r="F75" t="s">
        <v>16</v>
      </c>
      <c r="G75" s="9">
        <v>2500</v>
      </c>
    </row>
    <row r="76" spans="1:7" x14ac:dyDescent="0.3">
      <c r="A76" t="s">
        <v>109</v>
      </c>
      <c r="B76" t="s">
        <v>61</v>
      </c>
      <c r="C76" t="s">
        <v>15</v>
      </c>
      <c r="D76">
        <v>12</v>
      </c>
      <c r="E76">
        <v>17</v>
      </c>
      <c r="F76" t="s">
        <v>22</v>
      </c>
      <c r="G76" s="9">
        <v>1200</v>
      </c>
    </row>
    <row r="77" spans="1:7" x14ac:dyDescent="0.3">
      <c r="A77" t="s">
        <v>110</v>
      </c>
      <c r="B77" t="s">
        <v>63</v>
      </c>
      <c r="C77" t="s">
        <v>9</v>
      </c>
      <c r="D77">
        <v>82</v>
      </c>
      <c r="E77">
        <v>33</v>
      </c>
      <c r="F77" t="s">
        <v>19</v>
      </c>
      <c r="G77" s="9">
        <v>800</v>
      </c>
    </row>
    <row r="78" spans="1:7" x14ac:dyDescent="0.3">
      <c r="A78" t="s">
        <v>111</v>
      </c>
      <c r="B78" t="s">
        <v>40</v>
      </c>
      <c r="C78" t="s">
        <v>15</v>
      </c>
      <c r="D78">
        <v>50</v>
      </c>
      <c r="E78">
        <v>10</v>
      </c>
      <c r="F78" t="s">
        <v>10</v>
      </c>
      <c r="G78" s="9">
        <v>17500</v>
      </c>
    </row>
    <row r="79" spans="1:7" x14ac:dyDescent="0.3">
      <c r="A79" t="s">
        <v>112</v>
      </c>
      <c r="B79" t="s">
        <v>65</v>
      </c>
      <c r="C79" t="s">
        <v>26</v>
      </c>
      <c r="D79">
        <v>96</v>
      </c>
      <c r="E79">
        <v>16</v>
      </c>
      <c r="F79" t="s">
        <v>10</v>
      </c>
      <c r="G79" s="9">
        <v>5500</v>
      </c>
    </row>
    <row r="80" spans="1:7" x14ac:dyDescent="0.3">
      <c r="A80" t="s">
        <v>113</v>
      </c>
      <c r="B80" t="s">
        <v>43</v>
      </c>
      <c r="C80" t="s">
        <v>15</v>
      </c>
      <c r="D80">
        <v>12</v>
      </c>
      <c r="E80">
        <v>12</v>
      </c>
      <c r="F80" t="s">
        <v>10</v>
      </c>
      <c r="G80" s="9">
        <v>2000</v>
      </c>
    </row>
    <row r="81" spans="1:7" x14ac:dyDescent="0.3">
      <c r="A81" t="s">
        <v>114</v>
      </c>
      <c r="B81" t="s">
        <v>18</v>
      </c>
      <c r="C81" t="s">
        <v>9</v>
      </c>
      <c r="D81">
        <v>48</v>
      </c>
      <c r="E81">
        <v>20</v>
      </c>
      <c r="F81" t="s">
        <v>10</v>
      </c>
      <c r="G81" s="9">
        <v>11500</v>
      </c>
    </row>
    <row r="82" spans="1:7" x14ac:dyDescent="0.3">
      <c r="A82" t="s">
        <v>115</v>
      </c>
      <c r="B82" t="s">
        <v>25</v>
      </c>
      <c r="C82" t="s">
        <v>9</v>
      </c>
      <c r="D82">
        <v>14</v>
      </c>
      <c r="E82">
        <v>18</v>
      </c>
      <c r="F82" t="s">
        <v>22</v>
      </c>
      <c r="G82" s="9">
        <v>18000</v>
      </c>
    </row>
    <row r="83" spans="1:7" x14ac:dyDescent="0.3">
      <c r="A83" t="s">
        <v>116</v>
      </c>
      <c r="B83" t="s">
        <v>31</v>
      </c>
      <c r="C83" t="s">
        <v>9</v>
      </c>
      <c r="D83">
        <v>106</v>
      </c>
      <c r="E83">
        <v>16</v>
      </c>
      <c r="F83" t="s">
        <v>29</v>
      </c>
      <c r="G83" s="9">
        <v>3000</v>
      </c>
    </row>
    <row r="84" spans="1:7" x14ac:dyDescent="0.3">
      <c r="A84" t="s">
        <v>117</v>
      </c>
      <c r="B84" t="s">
        <v>18</v>
      </c>
      <c r="C84" t="s">
        <v>15</v>
      </c>
      <c r="D84">
        <v>58</v>
      </c>
      <c r="E84">
        <v>11</v>
      </c>
      <c r="F84" t="s">
        <v>19</v>
      </c>
      <c r="G84" s="9">
        <v>11500</v>
      </c>
    </row>
    <row r="85" spans="1:7" x14ac:dyDescent="0.3">
      <c r="A85" t="s">
        <v>118</v>
      </c>
      <c r="B85" t="s">
        <v>18</v>
      </c>
      <c r="C85" t="s">
        <v>26</v>
      </c>
      <c r="D85">
        <v>21</v>
      </c>
      <c r="E85">
        <v>22</v>
      </c>
      <c r="F85" t="s">
        <v>29</v>
      </c>
      <c r="G85" s="9">
        <v>11500</v>
      </c>
    </row>
    <row r="86" spans="1:7" x14ac:dyDescent="0.3">
      <c r="A86" t="s">
        <v>119</v>
      </c>
      <c r="B86" t="s">
        <v>65</v>
      </c>
      <c r="C86" t="s">
        <v>15</v>
      </c>
      <c r="D86">
        <v>94</v>
      </c>
      <c r="E86">
        <v>23</v>
      </c>
      <c r="F86" t="s">
        <v>16</v>
      </c>
      <c r="G86" s="9">
        <v>5500</v>
      </c>
    </row>
    <row r="87" spans="1:7" x14ac:dyDescent="0.3">
      <c r="A87" t="s">
        <v>120</v>
      </c>
      <c r="B87" t="s">
        <v>53</v>
      </c>
      <c r="C87" t="s">
        <v>26</v>
      </c>
      <c r="D87">
        <v>83</v>
      </c>
      <c r="E87">
        <v>20</v>
      </c>
      <c r="F87" t="s">
        <v>10</v>
      </c>
      <c r="G87" s="9">
        <v>4500</v>
      </c>
    </row>
    <row r="88" spans="1:7" x14ac:dyDescent="0.3">
      <c r="A88" t="s">
        <v>121</v>
      </c>
      <c r="B88" t="s">
        <v>21</v>
      </c>
      <c r="C88" t="s">
        <v>26</v>
      </c>
      <c r="D88">
        <v>28</v>
      </c>
      <c r="E88">
        <v>12</v>
      </c>
      <c r="F88" t="s">
        <v>19</v>
      </c>
      <c r="G88" s="9">
        <v>2500</v>
      </c>
    </row>
    <row r="89" spans="1:7" x14ac:dyDescent="0.3">
      <c r="A89" t="s">
        <v>122</v>
      </c>
      <c r="B89" t="s">
        <v>43</v>
      </c>
      <c r="C89" t="s">
        <v>9</v>
      </c>
      <c r="D89">
        <v>12</v>
      </c>
      <c r="E89">
        <v>16</v>
      </c>
      <c r="F89" t="s">
        <v>29</v>
      </c>
      <c r="G89" s="9">
        <v>2000</v>
      </c>
    </row>
    <row r="90" spans="1:7" x14ac:dyDescent="0.3">
      <c r="A90" t="s">
        <v>123</v>
      </c>
      <c r="B90" t="s">
        <v>40</v>
      </c>
      <c r="C90" t="s">
        <v>15</v>
      </c>
      <c r="D90">
        <v>108</v>
      </c>
      <c r="E90">
        <v>28</v>
      </c>
      <c r="F90" t="s">
        <v>10</v>
      </c>
      <c r="G90" s="9">
        <v>17500</v>
      </c>
    </row>
    <row r="91" spans="1:7" x14ac:dyDescent="0.3">
      <c r="A91" t="s">
        <v>124</v>
      </c>
      <c r="B91" t="s">
        <v>40</v>
      </c>
      <c r="C91" t="s">
        <v>26</v>
      </c>
      <c r="D91">
        <v>27</v>
      </c>
      <c r="E91">
        <v>29</v>
      </c>
      <c r="F91" t="s">
        <v>22</v>
      </c>
      <c r="G91" s="9">
        <v>17500</v>
      </c>
    </row>
    <row r="92" spans="1:7" x14ac:dyDescent="0.3">
      <c r="A92" t="s">
        <v>125</v>
      </c>
      <c r="B92" t="s">
        <v>8</v>
      </c>
      <c r="C92" t="s">
        <v>9</v>
      </c>
      <c r="D92">
        <v>14</v>
      </c>
      <c r="E92">
        <v>11</v>
      </c>
      <c r="F92" t="s">
        <v>16</v>
      </c>
      <c r="G92" s="9">
        <v>1800</v>
      </c>
    </row>
    <row r="93" spans="1:7" x14ac:dyDescent="0.3">
      <c r="A93" t="s">
        <v>126</v>
      </c>
      <c r="B93" t="s">
        <v>63</v>
      </c>
      <c r="C93" t="s">
        <v>33</v>
      </c>
      <c r="D93">
        <v>37</v>
      </c>
      <c r="E93">
        <v>5</v>
      </c>
      <c r="F93" t="s">
        <v>16</v>
      </c>
      <c r="G93" s="9">
        <v>800</v>
      </c>
    </row>
    <row r="94" spans="1:7" x14ac:dyDescent="0.3">
      <c r="A94" t="s">
        <v>127</v>
      </c>
      <c r="B94" t="s">
        <v>14</v>
      </c>
      <c r="C94" t="s">
        <v>26</v>
      </c>
      <c r="D94">
        <v>106</v>
      </c>
      <c r="E94">
        <v>18</v>
      </c>
      <c r="F94" t="s">
        <v>19</v>
      </c>
      <c r="G94" s="9">
        <v>1500</v>
      </c>
    </row>
    <row r="95" spans="1:7" x14ac:dyDescent="0.3">
      <c r="A95" t="s">
        <v>128</v>
      </c>
      <c r="B95" t="s">
        <v>61</v>
      </c>
      <c r="C95" t="s">
        <v>26</v>
      </c>
      <c r="D95">
        <v>70</v>
      </c>
      <c r="E95">
        <v>5</v>
      </c>
      <c r="F95" t="s">
        <v>19</v>
      </c>
      <c r="G95" s="9">
        <v>1200</v>
      </c>
    </row>
    <row r="96" spans="1:7" x14ac:dyDescent="0.3">
      <c r="A96" t="s">
        <v>129</v>
      </c>
      <c r="B96" t="s">
        <v>48</v>
      </c>
      <c r="C96" t="s">
        <v>33</v>
      </c>
      <c r="D96">
        <v>47</v>
      </c>
      <c r="E96">
        <v>12</v>
      </c>
      <c r="F96" t="s">
        <v>10</v>
      </c>
      <c r="G96" s="9">
        <v>10000</v>
      </c>
    </row>
    <row r="97" spans="1:7" x14ac:dyDescent="0.3">
      <c r="A97" t="s">
        <v>130</v>
      </c>
      <c r="B97" t="s">
        <v>45</v>
      </c>
      <c r="C97" t="s">
        <v>26</v>
      </c>
      <c r="D97">
        <v>90</v>
      </c>
      <c r="E97">
        <v>21</v>
      </c>
      <c r="F97" t="s">
        <v>16</v>
      </c>
      <c r="G97" s="9">
        <v>12000</v>
      </c>
    </row>
    <row r="98" spans="1:7" x14ac:dyDescent="0.3">
      <c r="A98" t="s">
        <v>131</v>
      </c>
      <c r="B98" t="s">
        <v>31</v>
      </c>
      <c r="C98" t="s">
        <v>26</v>
      </c>
      <c r="D98">
        <v>16</v>
      </c>
      <c r="E98">
        <v>12</v>
      </c>
      <c r="F98" t="s">
        <v>16</v>
      </c>
      <c r="G98" s="9">
        <v>3000</v>
      </c>
    </row>
    <row r="99" spans="1:7" x14ac:dyDescent="0.3">
      <c r="A99" t="s">
        <v>132</v>
      </c>
      <c r="B99" t="s">
        <v>71</v>
      </c>
      <c r="C99" t="s">
        <v>26</v>
      </c>
      <c r="D99">
        <v>14</v>
      </c>
      <c r="E99">
        <v>14</v>
      </c>
      <c r="F99" t="s">
        <v>19</v>
      </c>
      <c r="G99" s="9">
        <v>9000</v>
      </c>
    </row>
    <row r="100" spans="1:7" x14ac:dyDescent="0.3">
      <c r="A100" t="s">
        <v>133</v>
      </c>
      <c r="B100" t="s">
        <v>61</v>
      </c>
      <c r="C100" t="s">
        <v>33</v>
      </c>
      <c r="D100">
        <v>48</v>
      </c>
      <c r="E100">
        <v>9</v>
      </c>
      <c r="F100" t="s">
        <v>22</v>
      </c>
      <c r="G100" s="9">
        <v>1200</v>
      </c>
    </row>
    <row r="101" spans="1:7" x14ac:dyDescent="0.3">
      <c r="A101" t="s">
        <v>134</v>
      </c>
      <c r="B101" t="s">
        <v>21</v>
      </c>
      <c r="C101" t="s">
        <v>33</v>
      </c>
      <c r="D101">
        <v>100</v>
      </c>
      <c r="E101">
        <v>13</v>
      </c>
      <c r="F101" t="s">
        <v>22</v>
      </c>
      <c r="G101" s="9">
        <v>2500</v>
      </c>
    </row>
    <row r="102" spans="1:7" x14ac:dyDescent="0.3">
      <c r="A102" t="s">
        <v>135</v>
      </c>
      <c r="B102" t="s">
        <v>31</v>
      </c>
      <c r="C102" t="s">
        <v>26</v>
      </c>
      <c r="D102">
        <v>73</v>
      </c>
      <c r="E102">
        <v>11</v>
      </c>
      <c r="F102" t="s">
        <v>22</v>
      </c>
      <c r="G102" s="9">
        <v>3000</v>
      </c>
    </row>
    <row r="103" spans="1:7" x14ac:dyDescent="0.3">
      <c r="A103" t="s">
        <v>136</v>
      </c>
      <c r="B103" t="s">
        <v>8</v>
      </c>
      <c r="C103" t="s">
        <v>9</v>
      </c>
      <c r="D103">
        <v>20</v>
      </c>
      <c r="E103">
        <v>10</v>
      </c>
      <c r="F103" t="s">
        <v>10</v>
      </c>
      <c r="G103" s="9">
        <v>1800</v>
      </c>
    </row>
    <row r="104" spans="1:7" x14ac:dyDescent="0.3">
      <c r="A104" t="s">
        <v>137</v>
      </c>
      <c r="B104" t="s">
        <v>43</v>
      </c>
      <c r="C104" t="s">
        <v>33</v>
      </c>
      <c r="D104">
        <v>83</v>
      </c>
      <c r="E104">
        <v>19</v>
      </c>
      <c r="F104" t="s">
        <v>29</v>
      </c>
      <c r="G104" s="9">
        <v>2000</v>
      </c>
    </row>
    <row r="105" spans="1:7" x14ac:dyDescent="0.3">
      <c r="A105" t="s">
        <v>138</v>
      </c>
      <c r="B105" t="s">
        <v>65</v>
      </c>
      <c r="C105" t="s">
        <v>15</v>
      </c>
      <c r="D105">
        <v>89</v>
      </c>
      <c r="E105">
        <v>33</v>
      </c>
      <c r="F105" t="s">
        <v>29</v>
      </c>
      <c r="G105" s="9">
        <v>5500</v>
      </c>
    </row>
    <row r="106" spans="1:7" x14ac:dyDescent="0.3">
      <c r="A106" t="s">
        <v>139</v>
      </c>
      <c r="B106" t="s">
        <v>65</v>
      </c>
      <c r="C106" t="s">
        <v>26</v>
      </c>
      <c r="D106">
        <v>77</v>
      </c>
      <c r="E106">
        <v>13</v>
      </c>
      <c r="F106" t="s">
        <v>19</v>
      </c>
      <c r="G106" s="9">
        <v>5500</v>
      </c>
    </row>
    <row r="107" spans="1:7" x14ac:dyDescent="0.3">
      <c r="A107" t="s">
        <v>140</v>
      </c>
      <c r="B107" t="s">
        <v>71</v>
      </c>
      <c r="C107" t="s">
        <v>33</v>
      </c>
      <c r="D107">
        <v>84</v>
      </c>
      <c r="E107">
        <v>29</v>
      </c>
      <c r="F107" t="s">
        <v>29</v>
      </c>
      <c r="G107" s="9">
        <v>9000</v>
      </c>
    </row>
    <row r="108" spans="1:7" x14ac:dyDescent="0.3">
      <c r="A108" t="s">
        <v>141</v>
      </c>
      <c r="B108" t="s">
        <v>25</v>
      </c>
      <c r="C108" t="s">
        <v>26</v>
      </c>
      <c r="D108">
        <v>104</v>
      </c>
      <c r="E108">
        <v>22</v>
      </c>
      <c r="F108" t="s">
        <v>22</v>
      </c>
      <c r="G108" s="9">
        <v>18000</v>
      </c>
    </row>
    <row r="109" spans="1:7" x14ac:dyDescent="0.3">
      <c r="A109" t="s">
        <v>142</v>
      </c>
      <c r="B109" t="s">
        <v>63</v>
      </c>
      <c r="C109" t="s">
        <v>33</v>
      </c>
      <c r="D109">
        <v>81</v>
      </c>
      <c r="E109">
        <v>28</v>
      </c>
      <c r="F109" t="s">
        <v>22</v>
      </c>
      <c r="G109" s="9">
        <v>800</v>
      </c>
    </row>
    <row r="110" spans="1:7" x14ac:dyDescent="0.3">
      <c r="A110" t="s">
        <v>143</v>
      </c>
      <c r="B110" t="s">
        <v>58</v>
      </c>
      <c r="C110" t="s">
        <v>26</v>
      </c>
      <c r="D110">
        <v>76</v>
      </c>
      <c r="E110">
        <v>33</v>
      </c>
      <c r="F110" t="s">
        <v>22</v>
      </c>
      <c r="G110" s="9">
        <v>1000</v>
      </c>
    </row>
    <row r="111" spans="1:7" x14ac:dyDescent="0.3">
      <c r="A111" t="s">
        <v>144</v>
      </c>
      <c r="B111" t="s">
        <v>43</v>
      </c>
      <c r="C111" t="s">
        <v>26</v>
      </c>
      <c r="D111">
        <v>45</v>
      </c>
      <c r="E111">
        <v>34</v>
      </c>
      <c r="F111" t="s">
        <v>16</v>
      </c>
      <c r="G111" s="9">
        <v>2000</v>
      </c>
    </row>
    <row r="112" spans="1:7" x14ac:dyDescent="0.3">
      <c r="A112" t="s">
        <v>145</v>
      </c>
      <c r="B112" t="s">
        <v>63</v>
      </c>
      <c r="C112" t="s">
        <v>9</v>
      </c>
      <c r="D112">
        <v>73</v>
      </c>
      <c r="E112">
        <v>31</v>
      </c>
      <c r="F112" t="s">
        <v>22</v>
      </c>
      <c r="G112" s="9">
        <v>800</v>
      </c>
    </row>
    <row r="113" spans="1:7" x14ac:dyDescent="0.3">
      <c r="A113" t="s">
        <v>146</v>
      </c>
      <c r="B113" t="s">
        <v>12</v>
      </c>
      <c r="C113" t="s">
        <v>26</v>
      </c>
      <c r="D113">
        <v>20</v>
      </c>
      <c r="E113">
        <v>18</v>
      </c>
      <c r="F113" t="s">
        <v>22</v>
      </c>
      <c r="G113" s="9">
        <v>2000</v>
      </c>
    </row>
    <row r="114" spans="1:7" x14ac:dyDescent="0.3">
      <c r="A114" t="s">
        <v>147</v>
      </c>
      <c r="B114" t="s">
        <v>12</v>
      </c>
      <c r="C114" t="s">
        <v>26</v>
      </c>
      <c r="D114">
        <v>30</v>
      </c>
      <c r="E114">
        <v>17</v>
      </c>
      <c r="F114" t="s">
        <v>16</v>
      </c>
      <c r="G114" s="9">
        <v>2000</v>
      </c>
    </row>
    <row r="115" spans="1:7" x14ac:dyDescent="0.3">
      <c r="A115" t="s">
        <v>148</v>
      </c>
      <c r="B115" t="s">
        <v>43</v>
      </c>
      <c r="C115" t="s">
        <v>9</v>
      </c>
      <c r="D115">
        <v>104</v>
      </c>
      <c r="E115">
        <v>27</v>
      </c>
      <c r="F115" t="s">
        <v>19</v>
      </c>
      <c r="G115" s="9">
        <v>2000</v>
      </c>
    </row>
    <row r="116" spans="1:7" x14ac:dyDescent="0.3">
      <c r="A116" t="s">
        <v>149</v>
      </c>
      <c r="B116" t="s">
        <v>25</v>
      </c>
      <c r="C116" t="s">
        <v>9</v>
      </c>
      <c r="D116">
        <v>54</v>
      </c>
      <c r="E116">
        <v>18</v>
      </c>
      <c r="F116" t="s">
        <v>19</v>
      </c>
      <c r="G116" s="9">
        <v>18000</v>
      </c>
    </row>
    <row r="117" spans="1:7" x14ac:dyDescent="0.3">
      <c r="A117" t="s">
        <v>150</v>
      </c>
      <c r="B117" t="s">
        <v>45</v>
      </c>
      <c r="C117" t="s">
        <v>15</v>
      </c>
      <c r="D117">
        <v>56</v>
      </c>
      <c r="E117">
        <v>5</v>
      </c>
      <c r="F117" t="s">
        <v>19</v>
      </c>
      <c r="G117" s="9">
        <v>12000</v>
      </c>
    </row>
    <row r="118" spans="1:7" x14ac:dyDescent="0.3">
      <c r="A118" t="s">
        <v>151</v>
      </c>
      <c r="B118" t="s">
        <v>152</v>
      </c>
      <c r="C118" t="s">
        <v>15</v>
      </c>
      <c r="D118">
        <v>92</v>
      </c>
      <c r="E118">
        <v>15</v>
      </c>
      <c r="F118" t="s">
        <v>10</v>
      </c>
      <c r="G118" s="9">
        <v>1400</v>
      </c>
    </row>
    <row r="119" spans="1:7" x14ac:dyDescent="0.3">
      <c r="A119" t="s">
        <v>153</v>
      </c>
      <c r="B119" t="s">
        <v>14</v>
      </c>
      <c r="C119" t="s">
        <v>9</v>
      </c>
      <c r="D119">
        <v>39</v>
      </c>
      <c r="E119">
        <v>17</v>
      </c>
      <c r="F119" t="s">
        <v>22</v>
      </c>
      <c r="G119" s="9">
        <v>1500</v>
      </c>
    </row>
    <row r="120" spans="1:7" x14ac:dyDescent="0.3">
      <c r="A120" t="s">
        <v>154</v>
      </c>
      <c r="B120" t="s">
        <v>38</v>
      </c>
      <c r="C120" t="s">
        <v>15</v>
      </c>
      <c r="D120">
        <v>63</v>
      </c>
      <c r="E120">
        <v>12</v>
      </c>
      <c r="F120" t="s">
        <v>22</v>
      </c>
      <c r="G120" s="9">
        <v>1500</v>
      </c>
    </row>
    <row r="121" spans="1:7" x14ac:dyDescent="0.3">
      <c r="A121" t="s">
        <v>155</v>
      </c>
      <c r="B121" t="s">
        <v>152</v>
      </c>
      <c r="C121" t="s">
        <v>9</v>
      </c>
      <c r="D121">
        <v>105</v>
      </c>
      <c r="E121">
        <v>27</v>
      </c>
      <c r="F121" t="s">
        <v>22</v>
      </c>
      <c r="G121" s="9">
        <v>1400</v>
      </c>
    </row>
    <row r="122" spans="1:7" x14ac:dyDescent="0.3">
      <c r="A122" t="s">
        <v>156</v>
      </c>
      <c r="B122" t="s">
        <v>28</v>
      </c>
      <c r="C122" t="s">
        <v>33</v>
      </c>
      <c r="D122">
        <v>21</v>
      </c>
      <c r="E122">
        <v>5</v>
      </c>
      <c r="F122" t="s">
        <v>19</v>
      </c>
      <c r="G122" s="9">
        <v>3500</v>
      </c>
    </row>
    <row r="123" spans="1:7" x14ac:dyDescent="0.3">
      <c r="A123" t="s">
        <v>157</v>
      </c>
      <c r="B123" t="s">
        <v>21</v>
      </c>
      <c r="C123" t="s">
        <v>9</v>
      </c>
      <c r="D123">
        <v>51</v>
      </c>
      <c r="E123">
        <v>8</v>
      </c>
      <c r="F123" t="s">
        <v>16</v>
      </c>
      <c r="G123" s="9">
        <v>2500</v>
      </c>
    </row>
    <row r="124" spans="1:7" x14ac:dyDescent="0.3">
      <c r="A124" t="s">
        <v>158</v>
      </c>
      <c r="B124" t="s">
        <v>21</v>
      </c>
      <c r="C124" t="s">
        <v>9</v>
      </c>
      <c r="D124">
        <v>71</v>
      </c>
      <c r="E124">
        <v>16</v>
      </c>
      <c r="F124" t="s">
        <v>22</v>
      </c>
      <c r="G124" s="9">
        <v>2500</v>
      </c>
    </row>
    <row r="125" spans="1:7" x14ac:dyDescent="0.3">
      <c r="A125" t="s">
        <v>159</v>
      </c>
      <c r="B125" t="s">
        <v>21</v>
      </c>
      <c r="C125" t="s">
        <v>26</v>
      </c>
      <c r="D125">
        <v>31</v>
      </c>
      <c r="E125">
        <v>23</v>
      </c>
      <c r="F125" t="s">
        <v>19</v>
      </c>
      <c r="G125" s="9">
        <v>2500</v>
      </c>
    </row>
    <row r="126" spans="1:7" x14ac:dyDescent="0.3">
      <c r="A126" t="s">
        <v>160</v>
      </c>
      <c r="B126" t="s">
        <v>63</v>
      </c>
      <c r="C126" t="s">
        <v>9</v>
      </c>
      <c r="D126">
        <v>81</v>
      </c>
      <c r="E126">
        <v>19</v>
      </c>
      <c r="F126" t="s">
        <v>16</v>
      </c>
      <c r="G126" s="9">
        <v>800</v>
      </c>
    </row>
    <row r="127" spans="1:7" x14ac:dyDescent="0.3">
      <c r="A127" t="s">
        <v>161</v>
      </c>
      <c r="B127" t="s">
        <v>61</v>
      </c>
      <c r="C127" t="s">
        <v>15</v>
      </c>
      <c r="D127">
        <v>89</v>
      </c>
      <c r="E127">
        <v>17</v>
      </c>
      <c r="F127" t="s">
        <v>29</v>
      </c>
      <c r="G127" s="9">
        <v>1200</v>
      </c>
    </row>
    <row r="128" spans="1:7" x14ac:dyDescent="0.3">
      <c r="A128" t="s">
        <v>162</v>
      </c>
      <c r="B128" t="s">
        <v>40</v>
      </c>
      <c r="C128" t="s">
        <v>15</v>
      </c>
      <c r="D128">
        <v>107</v>
      </c>
      <c r="E128">
        <v>22</v>
      </c>
      <c r="F128" t="s">
        <v>16</v>
      </c>
      <c r="G128" s="9">
        <v>17500</v>
      </c>
    </row>
    <row r="129" spans="1:7" x14ac:dyDescent="0.3">
      <c r="A129" t="s">
        <v>163</v>
      </c>
      <c r="B129" t="s">
        <v>28</v>
      </c>
      <c r="C129" t="s">
        <v>26</v>
      </c>
      <c r="D129">
        <v>104</v>
      </c>
      <c r="E129">
        <v>34</v>
      </c>
      <c r="F129" t="s">
        <v>19</v>
      </c>
      <c r="G129" s="9">
        <v>3500</v>
      </c>
    </row>
    <row r="130" spans="1:7" x14ac:dyDescent="0.3">
      <c r="A130" t="s">
        <v>164</v>
      </c>
      <c r="B130" t="s">
        <v>152</v>
      </c>
      <c r="C130" t="s">
        <v>9</v>
      </c>
      <c r="D130">
        <v>25</v>
      </c>
      <c r="E130">
        <v>8</v>
      </c>
      <c r="F130" t="s">
        <v>22</v>
      </c>
      <c r="G130" s="9">
        <v>1400</v>
      </c>
    </row>
    <row r="131" spans="1:7" x14ac:dyDescent="0.3">
      <c r="A131" t="s">
        <v>165</v>
      </c>
      <c r="B131" t="s">
        <v>25</v>
      </c>
      <c r="C131" t="s">
        <v>9</v>
      </c>
      <c r="D131">
        <v>58</v>
      </c>
      <c r="E131">
        <v>21</v>
      </c>
      <c r="F131" t="s">
        <v>19</v>
      </c>
      <c r="G131" s="9">
        <v>18000</v>
      </c>
    </row>
    <row r="132" spans="1:7" x14ac:dyDescent="0.3">
      <c r="A132" t="s">
        <v>166</v>
      </c>
      <c r="B132" t="s">
        <v>14</v>
      </c>
      <c r="C132" t="s">
        <v>26</v>
      </c>
      <c r="D132">
        <v>20</v>
      </c>
      <c r="E132">
        <v>17</v>
      </c>
      <c r="F132" t="s">
        <v>29</v>
      </c>
      <c r="G132" s="9">
        <v>1500</v>
      </c>
    </row>
    <row r="133" spans="1:7" x14ac:dyDescent="0.3">
      <c r="A133" t="s">
        <v>167</v>
      </c>
      <c r="B133" t="s">
        <v>28</v>
      </c>
      <c r="C133" t="s">
        <v>26</v>
      </c>
      <c r="D133">
        <v>40</v>
      </c>
      <c r="E133">
        <v>15</v>
      </c>
      <c r="F133" t="s">
        <v>22</v>
      </c>
      <c r="G133" s="9">
        <v>3500</v>
      </c>
    </row>
    <row r="134" spans="1:7" x14ac:dyDescent="0.3">
      <c r="A134" t="s">
        <v>168</v>
      </c>
      <c r="B134" t="s">
        <v>58</v>
      </c>
      <c r="C134" t="s">
        <v>9</v>
      </c>
      <c r="D134">
        <v>50</v>
      </c>
      <c r="E134">
        <v>32</v>
      </c>
      <c r="F134" t="s">
        <v>10</v>
      </c>
      <c r="G134" s="9">
        <v>1000</v>
      </c>
    </row>
    <row r="135" spans="1:7" x14ac:dyDescent="0.3">
      <c r="A135" t="s">
        <v>169</v>
      </c>
      <c r="B135" t="s">
        <v>152</v>
      </c>
      <c r="C135" t="s">
        <v>26</v>
      </c>
      <c r="D135">
        <v>93</v>
      </c>
      <c r="E135">
        <v>12</v>
      </c>
      <c r="F135" t="s">
        <v>29</v>
      </c>
      <c r="G135" s="9">
        <v>1400</v>
      </c>
    </row>
    <row r="136" spans="1:7" x14ac:dyDescent="0.3">
      <c r="A136" t="s">
        <v>170</v>
      </c>
      <c r="B136" t="s">
        <v>58</v>
      </c>
      <c r="C136" t="s">
        <v>26</v>
      </c>
      <c r="D136">
        <v>38</v>
      </c>
      <c r="E136">
        <v>9</v>
      </c>
      <c r="F136" t="s">
        <v>19</v>
      </c>
      <c r="G136" s="9">
        <v>1000</v>
      </c>
    </row>
    <row r="137" spans="1:7" x14ac:dyDescent="0.3">
      <c r="A137" t="s">
        <v>171</v>
      </c>
      <c r="B137" t="s">
        <v>28</v>
      </c>
      <c r="C137" t="s">
        <v>26</v>
      </c>
      <c r="D137">
        <v>39</v>
      </c>
      <c r="E137">
        <v>20</v>
      </c>
      <c r="F137" t="s">
        <v>10</v>
      </c>
      <c r="G137" s="9">
        <v>3500</v>
      </c>
    </row>
    <row r="138" spans="1:7" x14ac:dyDescent="0.3">
      <c r="A138" t="s">
        <v>172</v>
      </c>
      <c r="B138" t="s">
        <v>61</v>
      </c>
      <c r="C138" t="s">
        <v>9</v>
      </c>
      <c r="D138">
        <v>11</v>
      </c>
      <c r="E138">
        <v>14</v>
      </c>
      <c r="F138" t="s">
        <v>10</v>
      </c>
      <c r="G138" s="9">
        <v>1200</v>
      </c>
    </row>
    <row r="139" spans="1:7" x14ac:dyDescent="0.3">
      <c r="A139" t="s">
        <v>173</v>
      </c>
      <c r="B139" t="s">
        <v>65</v>
      </c>
      <c r="C139" t="s">
        <v>9</v>
      </c>
      <c r="D139">
        <v>87</v>
      </c>
      <c r="E139">
        <v>24</v>
      </c>
      <c r="F139" t="s">
        <v>16</v>
      </c>
      <c r="G139" s="9">
        <v>5500</v>
      </c>
    </row>
    <row r="140" spans="1:7" x14ac:dyDescent="0.3">
      <c r="A140" t="s">
        <v>174</v>
      </c>
      <c r="B140" t="s">
        <v>21</v>
      </c>
      <c r="C140" t="s">
        <v>9</v>
      </c>
      <c r="D140">
        <v>33</v>
      </c>
      <c r="E140">
        <v>20</v>
      </c>
      <c r="F140" t="s">
        <v>19</v>
      </c>
      <c r="G140" s="9">
        <v>2500</v>
      </c>
    </row>
    <row r="141" spans="1:7" x14ac:dyDescent="0.3">
      <c r="A141" t="s">
        <v>175</v>
      </c>
      <c r="B141" t="s">
        <v>152</v>
      </c>
      <c r="C141" t="s">
        <v>15</v>
      </c>
      <c r="D141">
        <v>32</v>
      </c>
      <c r="E141">
        <v>22</v>
      </c>
      <c r="F141" t="s">
        <v>29</v>
      </c>
      <c r="G141" s="9">
        <v>1400</v>
      </c>
    </row>
    <row r="142" spans="1:7" x14ac:dyDescent="0.3">
      <c r="A142" t="s">
        <v>176</v>
      </c>
      <c r="B142" t="s">
        <v>12</v>
      </c>
      <c r="C142" t="s">
        <v>9</v>
      </c>
      <c r="D142">
        <v>92</v>
      </c>
      <c r="E142">
        <v>18</v>
      </c>
      <c r="F142" t="s">
        <v>29</v>
      </c>
      <c r="G142" s="9">
        <v>2000</v>
      </c>
    </row>
    <row r="143" spans="1:7" x14ac:dyDescent="0.3">
      <c r="A143" t="s">
        <v>177</v>
      </c>
      <c r="B143" t="s">
        <v>38</v>
      </c>
      <c r="C143" t="s">
        <v>9</v>
      </c>
      <c r="D143">
        <v>108</v>
      </c>
      <c r="E143">
        <v>34</v>
      </c>
      <c r="F143" t="s">
        <v>16</v>
      </c>
      <c r="G143" s="9">
        <v>1500</v>
      </c>
    </row>
    <row r="144" spans="1:7" x14ac:dyDescent="0.3">
      <c r="A144" t="s">
        <v>178</v>
      </c>
      <c r="B144" t="s">
        <v>65</v>
      </c>
      <c r="C144" t="s">
        <v>26</v>
      </c>
      <c r="D144">
        <v>75</v>
      </c>
      <c r="E144">
        <v>13</v>
      </c>
      <c r="F144" t="s">
        <v>22</v>
      </c>
      <c r="G144" s="9">
        <v>5500</v>
      </c>
    </row>
    <row r="145" spans="1:7" x14ac:dyDescent="0.3">
      <c r="A145" t="s">
        <v>179</v>
      </c>
      <c r="B145" t="s">
        <v>28</v>
      </c>
      <c r="C145" t="s">
        <v>9</v>
      </c>
      <c r="D145">
        <v>79</v>
      </c>
      <c r="E145">
        <v>17</v>
      </c>
      <c r="F145" t="s">
        <v>16</v>
      </c>
      <c r="G145" s="9">
        <v>3500</v>
      </c>
    </row>
    <row r="146" spans="1:7" x14ac:dyDescent="0.3">
      <c r="A146" t="s">
        <v>180</v>
      </c>
      <c r="B146" t="s">
        <v>152</v>
      </c>
      <c r="C146" t="s">
        <v>33</v>
      </c>
      <c r="D146">
        <v>39</v>
      </c>
      <c r="E146">
        <v>5</v>
      </c>
      <c r="F146" t="s">
        <v>29</v>
      </c>
      <c r="G146" s="9">
        <v>1400</v>
      </c>
    </row>
    <row r="147" spans="1:7" x14ac:dyDescent="0.3">
      <c r="A147" t="s">
        <v>181</v>
      </c>
      <c r="B147" t="s">
        <v>58</v>
      </c>
      <c r="C147" t="s">
        <v>33</v>
      </c>
      <c r="D147">
        <v>50</v>
      </c>
      <c r="E147">
        <v>21</v>
      </c>
      <c r="F147" t="s">
        <v>19</v>
      </c>
      <c r="G147" s="9">
        <v>1000</v>
      </c>
    </row>
    <row r="148" spans="1:7" x14ac:dyDescent="0.3">
      <c r="A148" t="s">
        <v>182</v>
      </c>
      <c r="B148" t="s">
        <v>12</v>
      </c>
      <c r="C148" t="s">
        <v>26</v>
      </c>
      <c r="D148">
        <v>16</v>
      </c>
      <c r="E148">
        <v>20</v>
      </c>
      <c r="F148" t="s">
        <v>29</v>
      </c>
      <c r="G148" s="9">
        <v>2000</v>
      </c>
    </row>
    <row r="149" spans="1:7" x14ac:dyDescent="0.3">
      <c r="A149" t="s">
        <v>183</v>
      </c>
      <c r="B149" t="s">
        <v>48</v>
      </c>
      <c r="C149" t="s">
        <v>33</v>
      </c>
      <c r="D149">
        <v>101</v>
      </c>
      <c r="E149">
        <v>16</v>
      </c>
      <c r="F149" t="s">
        <v>19</v>
      </c>
      <c r="G149" s="9">
        <v>10000</v>
      </c>
    </row>
    <row r="150" spans="1:7" x14ac:dyDescent="0.3">
      <c r="A150" t="s">
        <v>184</v>
      </c>
      <c r="B150" t="s">
        <v>28</v>
      </c>
      <c r="C150" t="s">
        <v>26</v>
      </c>
      <c r="D150">
        <v>61</v>
      </c>
      <c r="E150">
        <v>34</v>
      </c>
      <c r="F150" t="s">
        <v>19</v>
      </c>
      <c r="G150" s="9">
        <v>3500</v>
      </c>
    </row>
    <row r="151" spans="1:7" x14ac:dyDescent="0.3">
      <c r="A151" t="s">
        <v>185</v>
      </c>
      <c r="B151" t="s">
        <v>12</v>
      </c>
      <c r="C151" t="s">
        <v>33</v>
      </c>
      <c r="D151">
        <v>68</v>
      </c>
      <c r="E151">
        <v>23</v>
      </c>
      <c r="F151" t="s">
        <v>22</v>
      </c>
      <c r="G151" s="9">
        <v>2000</v>
      </c>
    </row>
    <row r="152" spans="1:7" x14ac:dyDescent="0.3">
      <c r="A152" t="s">
        <v>186</v>
      </c>
      <c r="B152" t="s">
        <v>45</v>
      </c>
      <c r="C152" t="s">
        <v>33</v>
      </c>
      <c r="D152">
        <v>34</v>
      </c>
      <c r="E152">
        <v>9</v>
      </c>
      <c r="F152" t="s">
        <v>19</v>
      </c>
      <c r="G152" s="9">
        <v>12000</v>
      </c>
    </row>
    <row r="153" spans="1:7" x14ac:dyDescent="0.3">
      <c r="A153" t="s">
        <v>187</v>
      </c>
      <c r="B153" t="s">
        <v>31</v>
      </c>
      <c r="C153" t="s">
        <v>15</v>
      </c>
      <c r="D153">
        <v>68</v>
      </c>
      <c r="E153">
        <v>18</v>
      </c>
      <c r="F153" t="s">
        <v>19</v>
      </c>
      <c r="G153" s="9">
        <v>3000</v>
      </c>
    </row>
    <row r="154" spans="1:7" x14ac:dyDescent="0.3">
      <c r="A154" t="s">
        <v>188</v>
      </c>
      <c r="B154" t="s">
        <v>40</v>
      </c>
      <c r="C154" t="s">
        <v>26</v>
      </c>
      <c r="D154">
        <v>11</v>
      </c>
      <c r="E154">
        <v>18</v>
      </c>
      <c r="F154" t="s">
        <v>22</v>
      </c>
      <c r="G154" s="9">
        <v>17500</v>
      </c>
    </row>
    <row r="155" spans="1:7" x14ac:dyDescent="0.3">
      <c r="A155" t="s">
        <v>189</v>
      </c>
      <c r="B155" t="s">
        <v>28</v>
      </c>
      <c r="C155" t="s">
        <v>9</v>
      </c>
      <c r="D155">
        <v>43</v>
      </c>
      <c r="E155">
        <v>15</v>
      </c>
      <c r="F155" t="s">
        <v>22</v>
      </c>
      <c r="G155" s="9">
        <v>3500</v>
      </c>
    </row>
    <row r="156" spans="1:7" x14ac:dyDescent="0.3">
      <c r="A156" t="s">
        <v>190</v>
      </c>
      <c r="B156" t="s">
        <v>31</v>
      </c>
      <c r="C156" t="s">
        <v>15</v>
      </c>
      <c r="D156">
        <v>92</v>
      </c>
      <c r="E156">
        <v>33</v>
      </c>
      <c r="F156" t="s">
        <v>10</v>
      </c>
      <c r="G156" s="9">
        <v>3000</v>
      </c>
    </row>
    <row r="157" spans="1:7" x14ac:dyDescent="0.3">
      <c r="A157" t="s">
        <v>191</v>
      </c>
      <c r="B157" t="s">
        <v>58</v>
      </c>
      <c r="C157" t="s">
        <v>33</v>
      </c>
      <c r="D157">
        <v>81</v>
      </c>
      <c r="E157">
        <v>22</v>
      </c>
      <c r="F157" t="s">
        <v>16</v>
      </c>
      <c r="G157" s="9">
        <v>1000</v>
      </c>
    </row>
    <row r="158" spans="1:7" x14ac:dyDescent="0.3">
      <c r="A158" t="s">
        <v>192</v>
      </c>
      <c r="B158" t="s">
        <v>28</v>
      </c>
      <c r="C158" t="s">
        <v>15</v>
      </c>
      <c r="D158">
        <v>40</v>
      </c>
      <c r="E158">
        <v>9</v>
      </c>
      <c r="F158" t="s">
        <v>29</v>
      </c>
      <c r="G158" s="9">
        <v>3500</v>
      </c>
    </row>
    <row r="159" spans="1:7" x14ac:dyDescent="0.3">
      <c r="A159" t="s">
        <v>193</v>
      </c>
      <c r="B159" t="s">
        <v>61</v>
      </c>
      <c r="C159" t="s">
        <v>9</v>
      </c>
      <c r="D159">
        <v>49</v>
      </c>
      <c r="E159">
        <v>24</v>
      </c>
      <c r="F159" t="s">
        <v>29</v>
      </c>
      <c r="G159" s="9">
        <v>1200</v>
      </c>
    </row>
    <row r="160" spans="1:7" x14ac:dyDescent="0.3">
      <c r="A160" t="s">
        <v>194</v>
      </c>
      <c r="B160" t="s">
        <v>53</v>
      </c>
      <c r="C160" t="s">
        <v>9</v>
      </c>
      <c r="D160">
        <v>51</v>
      </c>
      <c r="E160">
        <v>10</v>
      </c>
      <c r="F160" t="s">
        <v>16</v>
      </c>
      <c r="G160" s="9">
        <v>4500</v>
      </c>
    </row>
    <row r="161" spans="1:7" x14ac:dyDescent="0.3">
      <c r="A161" t="s">
        <v>195</v>
      </c>
      <c r="B161" t="s">
        <v>43</v>
      </c>
      <c r="C161" t="s">
        <v>9</v>
      </c>
      <c r="D161">
        <v>72</v>
      </c>
      <c r="E161">
        <v>5</v>
      </c>
      <c r="F161" t="s">
        <v>19</v>
      </c>
      <c r="G161" s="9">
        <v>2000</v>
      </c>
    </row>
    <row r="162" spans="1:7" x14ac:dyDescent="0.3">
      <c r="A162" t="s">
        <v>196</v>
      </c>
      <c r="B162" t="s">
        <v>40</v>
      </c>
      <c r="C162" t="s">
        <v>26</v>
      </c>
      <c r="D162">
        <v>103</v>
      </c>
      <c r="E162">
        <v>11</v>
      </c>
      <c r="F162" t="s">
        <v>16</v>
      </c>
      <c r="G162" s="9">
        <v>17500</v>
      </c>
    </row>
    <row r="163" spans="1:7" x14ac:dyDescent="0.3">
      <c r="A163" t="s">
        <v>197</v>
      </c>
      <c r="B163" t="s">
        <v>18</v>
      </c>
      <c r="C163" t="s">
        <v>9</v>
      </c>
      <c r="D163">
        <v>98</v>
      </c>
      <c r="E163">
        <v>32</v>
      </c>
      <c r="F163" t="s">
        <v>22</v>
      </c>
      <c r="G163" s="9">
        <v>11500</v>
      </c>
    </row>
    <row r="164" spans="1:7" x14ac:dyDescent="0.3">
      <c r="A164" t="s">
        <v>198</v>
      </c>
      <c r="B164" t="s">
        <v>21</v>
      </c>
      <c r="C164" t="s">
        <v>26</v>
      </c>
      <c r="D164">
        <v>83</v>
      </c>
      <c r="E164">
        <v>16</v>
      </c>
      <c r="F164" t="s">
        <v>22</v>
      </c>
      <c r="G164" s="9">
        <v>2500</v>
      </c>
    </row>
    <row r="165" spans="1:7" x14ac:dyDescent="0.3">
      <c r="A165" t="s">
        <v>199</v>
      </c>
      <c r="B165" t="s">
        <v>31</v>
      </c>
      <c r="C165" t="s">
        <v>26</v>
      </c>
      <c r="D165">
        <v>45</v>
      </c>
      <c r="E165">
        <v>7</v>
      </c>
      <c r="F165" t="s">
        <v>29</v>
      </c>
      <c r="G165" s="9">
        <v>3000</v>
      </c>
    </row>
    <row r="166" spans="1:7" x14ac:dyDescent="0.3">
      <c r="A166" t="s">
        <v>200</v>
      </c>
      <c r="B166" t="s">
        <v>40</v>
      </c>
      <c r="C166" t="s">
        <v>9</v>
      </c>
      <c r="D166">
        <v>74</v>
      </c>
      <c r="E166">
        <v>30</v>
      </c>
      <c r="F166" t="s">
        <v>19</v>
      </c>
      <c r="G166" s="9">
        <v>17500</v>
      </c>
    </row>
    <row r="167" spans="1:7" x14ac:dyDescent="0.3">
      <c r="A167" t="s">
        <v>201</v>
      </c>
      <c r="B167" t="s">
        <v>45</v>
      </c>
      <c r="C167" t="s">
        <v>26</v>
      </c>
      <c r="D167">
        <v>89</v>
      </c>
      <c r="E167">
        <v>22</v>
      </c>
      <c r="F167" t="s">
        <v>29</v>
      </c>
      <c r="G167" s="9">
        <v>12000</v>
      </c>
    </row>
    <row r="168" spans="1:7" x14ac:dyDescent="0.3">
      <c r="A168" t="s">
        <v>202</v>
      </c>
      <c r="B168" t="s">
        <v>45</v>
      </c>
      <c r="C168" t="s">
        <v>9</v>
      </c>
      <c r="D168">
        <v>101</v>
      </c>
      <c r="E168">
        <v>24</v>
      </c>
      <c r="F168" t="s">
        <v>22</v>
      </c>
      <c r="G168" s="9">
        <v>12000</v>
      </c>
    </row>
    <row r="169" spans="1:7" x14ac:dyDescent="0.3">
      <c r="A169" t="s">
        <v>203</v>
      </c>
      <c r="B169" t="s">
        <v>40</v>
      </c>
      <c r="C169" t="s">
        <v>15</v>
      </c>
      <c r="D169">
        <v>32</v>
      </c>
      <c r="E169">
        <v>32</v>
      </c>
      <c r="F169" t="s">
        <v>10</v>
      </c>
      <c r="G169" s="9">
        <v>17500</v>
      </c>
    </row>
    <row r="170" spans="1:7" x14ac:dyDescent="0.3">
      <c r="A170" t="s">
        <v>204</v>
      </c>
      <c r="B170" t="s">
        <v>8</v>
      </c>
      <c r="C170" t="s">
        <v>9</v>
      </c>
      <c r="D170">
        <v>91</v>
      </c>
      <c r="E170">
        <v>22</v>
      </c>
      <c r="F170" t="s">
        <v>10</v>
      </c>
      <c r="G170" s="9">
        <v>1800</v>
      </c>
    </row>
    <row r="171" spans="1:7" x14ac:dyDescent="0.3">
      <c r="A171" t="s">
        <v>205</v>
      </c>
      <c r="B171" t="s">
        <v>71</v>
      </c>
      <c r="C171" t="s">
        <v>15</v>
      </c>
      <c r="D171">
        <v>26</v>
      </c>
      <c r="E171">
        <v>14</v>
      </c>
      <c r="F171" t="s">
        <v>22</v>
      </c>
      <c r="G171" s="9">
        <v>9000</v>
      </c>
    </row>
    <row r="172" spans="1:7" x14ac:dyDescent="0.3">
      <c r="A172" t="s">
        <v>206</v>
      </c>
      <c r="B172" t="s">
        <v>152</v>
      </c>
      <c r="C172" t="s">
        <v>15</v>
      </c>
      <c r="D172">
        <v>104</v>
      </c>
      <c r="E172">
        <v>34</v>
      </c>
      <c r="F172" t="s">
        <v>16</v>
      </c>
      <c r="G172" s="9">
        <v>1400</v>
      </c>
    </row>
    <row r="173" spans="1:7" x14ac:dyDescent="0.3">
      <c r="A173" t="s">
        <v>207</v>
      </c>
      <c r="B173" t="s">
        <v>21</v>
      </c>
      <c r="C173" t="s">
        <v>15</v>
      </c>
      <c r="D173">
        <v>14</v>
      </c>
      <c r="E173">
        <v>32</v>
      </c>
      <c r="F173" t="s">
        <v>29</v>
      </c>
      <c r="G173" s="9">
        <v>2500</v>
      </c>
    </row>
    <row r="174" spans="1:7" x14ac:dyDescent="0.3">
      <c r="A174" t="s">
        <v>208</v>
      </c>
      <c r="B174" t="s">
        <v>18</v>
      </c>
      <c r="C174" t="s">
        <v>15</v>
      </c>
      <c r="D174">
        <v>47</v>
      </c>
      <c r="E174">
        <v>11</v>
      </c>
      <c r="F174" t="s">
        <v>19</v>
      </c>
      <c r="G174" s="9">
        <v>11500</v>
      </c>
    </row>
    <row r="175" spans="1:7" x14ac:dyDescent="0.3">
      <c r="A175" t="s">
        <v>209</v>
      </c>
      <c r="B175" t="s">
        <v>8</v>
      </c>
      <c r="C175" t="s">
        <v>15</v>
      </c>
      <c r="D175">
        <v>96</v>
      </c>
      <c r="E175">
        <v>28</v>
      </c>
      <c r="F175" t="s">
        <v>16</v>
      </c>
      <c r="G175" s="9">
        <v>1800</v>
      </c>
    </row>
    <row r="176" spans="1:7" x14ac:dyDescent="0.3">
      <c r="A176" t="s">
        <v>210</v>
      </c>
      <c r="B176" t="s">
        <v>61</v>
      </c>
      <c r="C176" t="s">
        <v>26</v>
      </c>
      <c r="D176">
        <v>78</v>
      </c>
      <c r="E176">
        <v>5</v>
      </c>
      <c r="F176" t="s">
        <v>19</v>
      </c>
      <c r="G176" s="9">
        <v>1200</v>
      </c>
    </row>
    <row r="177" spans="1:7" x14ac:dyDescent="0.3">
      <c r="A177" t="s">
        <v>211</v>
      </c>
      <c r="B177" t="s">
        <v>48</v>
      </c>
      <c r="C177" t="s">
        <v>33</v>
      </c>
      <c r="D177">
        <v>92</v>
      </c>
      <c r="E177">
        <v>8</v>
      </c>
      <c r="F177" t="s">
        <v>22</v>
      </c>
      <c r="G177" s="9">
        <v>10000</v>
      </c>
    </row>
    <row r="178" spans="1:7" x14ac:dyDescent="0.3">
      <c r="A178" t="s">
        <v>212</v>
      </c>
      <c r="B178" t="s">
        <v>25</v>
      </c>
      <c r="C178" t="s">
        <v>33</v>
      </c>
      <c r="D178">
        <v>34</v>
      </c>
      <c r="E178">
        <v>11</v>
      </c>
      <c r="F178" t="s">
        <v>19</v>
      </c>
      <c r="G178" s="9">
        <v>18000</v>
      </c>
    </row>
    <row r="179" spans="1:7" x14ac:dyDescent="0.3">
      <c r="A179" t="s">
        <v>213</v>
      </c>
      <c r="B179" t="s">
        <v>58</v>
      </c>
      <c r="C179" t="s">
        <v>33</v>
      </c>
      <c r="D179">
        <v>100</v>
      </c>
      <c r="E179">
        <v>32</v>
      </c>
      <c r="F179" t="s">
        <v>29</v>
      </c>
      <c r="G179" s="9">
        <v>1000</v>
      </c>
    </row>
    <row r="180" spans="1:7" x14ac:dyDescent="0.3">
      <c r="A180" t="s">
        <v>214</v>
      </c>
      <c r="B180" t="s">
        <v>58</v>
      </c>
      <c r="C180" t="s">
        <v>33</v>
      </c>
      <c r="D180">
        <v>38</v>
      </c>
      <c r="E180">
        <v>13</v>
      </c>
      <c r="F180" t="s">
        <v>10</v>
      </c>
      <c r="G180" s="9">
        <v>1000</v>
      </c>
    </row>
    <row r="181" spans="1:7" x14ac:dyDescent="0.3">
      <c r="A181" t="s">
        <v>215</v>
      </c>
      <c r="B181" t="s">
        <v>38</v>
      </c>
      <c r="C181" t="s">
        <v>26</v>
      </c>
      <c r="D181">
        <v>41</v>
      </c>
      <c r="E181">
        <v>28</v>
      </c>
      <c r="F181" t="s">
        <v>10</v>
      </c>
      <c r="G181" s="9">
        <v>1500</v>
      </c>
    </row>
    <row r="182" spans="1:7" x14ac:dyDescent="0.3">
      <c r="A182" t="s">
        <v>216</v>
      </c>
      <c r="B182" t="s">
        <v>28</v>
      </c>
      <c r="C182" t="s">
        <v>15</v>
      </c>
      <c r="D182">
        <v>34</v>
      </c>
      <c r="E182">
        <v>22</v>
      </c>
      <c r="F182" t="s">
        <v>10</v>
      </c>
      <c r="G182" s="9">
        <v>3500</v>
      </c>
    </row>
    <row r="183" spans="1:7" x14ac:dyDescent="0.3">
      <c r="A183" t="s">
        <v>217</v>
      </c>
      <c r="B183" t="s">
        <v>12</v>
      </c>
      <c r="C183" t="s">
        <v>26</v>
      </c>
      <c r="D183">
        <v>43</v>
      </c>
      <c r="E183">
        <v>21</v>
      </c>
      <c r="F183" t="s">
        <v>22</v>
      </c>
      <c r="G183" s="9">
        <v>2000</v>
      </c>
    </row>
    <row r="184" spans="1:7" x14ac:dyDescent="0.3">
      <c r="A184" t="s">
        <v>218</v>
      </c>
      <c r="B184" t="s">
        <v>14</v>
      </c>
      <c r="C184" t="s">
        <v>33</v>
      </c>
      <c r="D184">
        <v>25</v>
      </c>
      <c r="E184">
        <v>9</v>
      </c>
      <c r="F184" t="s">
        <v>22</v>
      </c>
      <c r="G184" s="9">
        <v>1500</v>
      </c>
    </row>
    <row r="185" spans="1:7" x14ac:dyDescent="0.3">
      <c r="A185" t="s">
        <v>219</v>
      </c>
      <c r="B185" t="s">
        <v>61</v>
      </c>
      <c r="C185" t="s">
        <v>9</v>
      </c>
      <c r="D185">
        <v>97</v>
      </c>
      <c r="E185">
        <v>22</v>
      </c>
      <c r="F185" t="s">
        <v>16</v>
      </c>
      <c r="G185" s="9">
        <v>1200</v>
      </c>
    </row>
    <row r="186" spans="1:7" x14ac:dyDescent="0.3">
      <c r="A186" t="s">
        <v>220</v>
      </c>
      <c r="B186" t="s">
        <v>45</v>
      </c>
      <c r="C186" t="s">
        <v>15</v>
      </c>
      <c r="D186">
        <v>19</v>
      </c>
      <c r="E186">
        <v>17</v>
      </c>
      <c r="F186" t="s">
        <v>22</v>
      </c>
      <c r="G186" s="9">
        <v>12000</v>
      </c>
    </row>
    <row r="187" spans="1:7" x14ac:dyDescent="0.3">
      <c r="A187" t="s">
        <v>221</v>
      </c>
      <c r="B187" t="s">
        <v>40</v>
      </c>
      <c r="C187" t="s">
        <v>9</v>
      </c>
      <c r="D187">
        <v>109</v>
      </c>
      <c r="E187">
        <v>31</v>
      </c>
      <c r="F187" t="s">
        <v>19</v>
      </c>
      <c r="G187" s="9">
        <v>17500</v>
      </c>
    </row>
    <row r="188" spans="1:7" x14ac:dyDescent="0.3">
      <c r="A188" t="s">
        <v>222</v>
      </c>
      <c r="B188" t="s">
        <v>152</v>
      </c>
      <c r="C188" t="s">
        <v>33</v>
      </c>
      <c r="D188">
        <v>75</v>
      </c>
      <c r="E188">
        <v>32</v>
      </c>
      <c r="F188" t="s">
        <v>22</v>
      </c>
      <c r="G188" s="9">
        <v>1400</v>
      </c>
    </row>
    <row r="189" spans="1:7" x14ac:dyDescent="0.3">
      <c r="A189" t="s">
        <v>223</v>
      </c>
      <c r="B189" t="s">
        <v>18</v>
      </c>
      <c r="C189" t="s">
        <v>33</v>
      </c>
      <c r="D189">
        <v>83</v>
      </c>
      <c r="E189">
        <v>33</v>
      </c>
      <c r="F189" t="s">
        <v>10</v>
      </c>
      <c r="G189" s="9">
        <v>11500</v>
      </c>
    </row>
    <row r="190" spans="1:7" x14ac:dyDescent="0.3">
      <c r="A190" t="s">
        <v>224</v>
      </c>
      <c r="B190" t="s">
        <v>40</v>
      </c>
      <c r="C190" t="s">
        <v>33</v>
      </c>
      <c r="D190">
        <v>71</v>
      </c>
      <c r="E190">
        <v>10</v>
      </c>
      <c r="F190" t="s">
        <v>10</v>
      </c>
      <c r="G190" s="9">
        <v>17500</v>
      </c>
    </row>
    <row r="191" spans="1:7" x14ac:dyDescent="0.3">
      <c r="A191" t="s">
        <v>225</v>
      </c>
      <c r="B191" t="s">
        <v>45</v>
      </c>
      <c r="C191" t="s">
        <v>9</v>
      </c>
      <c r="D191">
        <v>13</v>
      </c>
      <c r="E191">
        <v>5</v>
      </c>
      <c r="F191" t="s">
        <v>10</v>
      </c>
      <c r="G191" s="9">
        <v>12000</v>
      </c>
    </row>
    <row r="192" spans="1:7" x14ac:dyDescent="0.3">
      <c r="A192" t="s">
        <v>226</v>
      </c>
      <c r="B192" t="s">
        <v>40</v>
      </c>
      <c r="C192" t="s">
        <v>26</v>
      </c>
      <c r="D192">
        <v>15</v>
      </c>
      <c r="E192">
        <v>33</v>
      </c>
      <c r="F192" t="s">
        <v>22</v>
      </c>
      <c r="G192" s="9">
        <v>17500</v>
      </c>
    </row>
    <row r="193" spans="1:7" x14ac:dyDescent="0.3">
      <c r="A193" t="s">
        <v>227</v>
      </c>
      <c r="B193" t="s">
        <v>21</v>
      </c>
      <c r="C193" t="s">
        <v>9</v>
      </c>
      <c r="D193">
        <v>60</v>
      </c>
      <c r="E193">
        <v>34</v>
      </c>
      <c r="F193" t="s">
        <v>29</v>
      </c>
      <c r="G193" s="9">
        <v>2500</v>
      </c>
    </row>
    <row r="194" spans="1:7" x14ac:dyDescent="0.3">
      <c r="A194" t="s">
        <v>228</v>
      </c>
      <c r="B194" t="s">
        <v>65</v>
      </c>
      <c r="C194" t="s">
        <v>26</v>
      </c>
      <c r="D194">
        <v>78</v>
      </c>
      <c r="E194">
        <v>9</v>
      </c>
      <c r="F194" t="s">
        <v>10</v>
      </c>
      <c r="G194" s="9">
        <v>5500</v>
      </c>
    </row>
    <row r="195" spans="1:7" x14ac:dyDescent="0.3">
      <c r="A195" t="s">
        <v>229</v>
      </c>
      <c r="B195" t="s">
        <v>48</v>
      </c>
      <c r="C195" t="s">
        <v>15</v>
      </c>
      <c r="D195">
        <v>102</v>
      </c>
      <c r="E195">
        <v>5</v>
      </c>
      <c r="F195" t="s">
        <v>29</v>
      </c>
      <c r="G195" s="9">
        <v>10000</v>
      </c>
    </row>
    <row r="196" spans="1:7" x14ac:dyDescent="0.3">
      <c r="A196" t="s">
        <v>230</v>
      </c>
      <c r="B196" t="s">
        <v>12</v>
      </c>
      <c r="C196" t="s">
        <v>26</v>
      </c>
      <c r="D196">
        <v>57</v>
      </c>
      <c r="E196">
        <v>6</v>
      </c>
      <c r="F196" t="s">
        <v>22</v>
      </c>
      <c r="G196" s="9">
        <v>2000</v>
      </c>
    </row>
    <row r="197" spans="1:7" x14ac:dyDescent="0.3">
      <c r="A197" t="s">
        <v>231</v>
      </c>
      <c r="B197" t="s">
        <v>152</v>
      </c>
      <c r="C197" t="s">
        <v>15</v>
      </c>
      <c r="D197">
        <v>28</v>
      </c>
      <c r="E197">
        <v>13</v>
      </c>
      <c r="F197" t="s">
        <v>10</v>
      </c>
      <c r="G197" s="9">
        <v>1400</v>
      </c>
    </row>
    <row r="198" spans="1:7" x14ac:dyDescent="0.3">
      <c r="A198" t="s">
        <v>232</v>
      </c>
      <c r="B198" t="s">
        <v>63</v>
      </c>
      <c r="C198" t="s">
        <v>33</v>
      </c>
      <c r="D198">
        <v>96</v>
      </c>
      <c r="E198">
        <v>23</v>
      </c>
      <c r="F198" t="s">
        <v>29</v>
      </c>
      <c r="G198" s="9">
        <v>800</v>
      </c>
    </row>
    <row r="199" spans="1:7" x14ac:dyDescent="0.3">
      <c r="A199" t="s">
        <v>233</v>
      </c>
      <c r="B199" t="s">
        <v>61</v>
      </c>
      <c r="C199" t="s">
        <v>26</v>
      </c>
      <c r="D199">
        <v>14</v>
      </c>
      <c r="E199">
        <v>13</v>
      </c>
      <c r="F199" t="s">
        <v>16</v>
      </c>
      <c r="G199" s="9">
        <v>1200</v>
      </c>
    </row>
    <row r="200" spans="1:7" x14ac:dyDescent="0.3">
      <c r="A200" t="s">
        <v>234</v>
      </c>
      <c r="B200" t="s">
        <v>25</v>
      </c>
      <c r="C200" t="s">
        <v>33</v>
      </c>
      <c r="D200">
        <v>51</v>
      </c>
      <c r="E200">
        <v>11</v>
      </c>
      <c r="F200" t="s">
        <v>22</v>
      </c>
      <c r="G200" s="9">
        <v>18000</v>
      </c>
    </row>
    <row r="201" spans="1:7" x14ac:dyDescent="0.3">
      <c r="A201" t="s">
        <v>235</v>
      </c>
      <c r="B201" t="s">
        <v>58</v>
      </c>
      <c r="C201" t="s">
        <v>15</v>
      </c>
      <c r="D201">
        <v>96</v>
      </c>
      <c r="E201">
        <v>20</v>
      </c>
      <c r="F201" t="s">
        <v>19</v>
      </c>
      <c r="G201" s="9">
        <v>1000</v>
      </c>
    </row>
    <row r="202" spans="1:7" x14ac:dyDescent="0.3">
      <c r="A202" t="s">
        <v>236</v>
      </c>
      <c r="B202" t="s">
        <v>43</v>
      </c>
      <c r="C202" t="s">
        <v>26</v>
      </c>
      <c r="D202">
        <v>28</v>
      </c>
      <c r="E202">
        <v>34</v>
      </c>
      <c r="F202" t="s">
        <v>19</v>
      </c>
      <c r="G202" s="9">
        <v>2000</v>
      </c>
    </row>
    <row r="203" spans="1:7" x14ac:dyDescent="0.3">
      <c r="A203" t="s">
        <v>237</v>
      </c>
      <c r="B203" t="s">
        <v>45</v>
      </c>
      <c r="C203" t="s">
        <v>15</v>
      </c>
      <c r="D203">
        <v>27</v>
      </c>
      <c r="E203">
        <v>8</v>
      </c>
      <c r="F203" t="s">
        <v>22</v>
      </c>
      <c r="G203" s="9">
        <v>12000</v>
      </c>
    </row>
    <row r="204" spans="1:7" x14ac:dyDescent="0.3">
      <c r="A204" t="s">
        <v>238</v>
      </c>
      <c r="B204" t="s">
        <v>48</v>
      </c>
      <c r="C204" t="s">
        <v>26</v>
      </c>
      <c r="D204">
        <v>87</v>
      </c>
      <c r="E204">
        <v>22</v>
      </c>
      <c r="F204" t="s">
        <v>10</v>
      </c>
      <c r="G204" s="9">
        <v>10000</v>
      </c>
    </row>
    <row r="205" spans="1:7" x14ac:dyDescent="0.3">
      <c r="A205" t="s">
        <v>239</v>
      </c>
      <c r="B205" t="s">
        <v>58</v>
      </c>
      <c r="C205" t="s">
        <v>26</v>
      </c>
      <c r="D205">
        <v>66</v>
      </c>
      <c r="E205">
        <v>12</v>
      </c>
      <c r="F205" t="s">
        <v>29</v>
      </c>
      <c r="G205" s="9">
        <v>1000</v>
      </c>
    </row>
    <row r="206" spans="1:7" x14ac:dyDescent="0.3">
      <c r="A206" t="s">
        <v>240</v>
      </c>
      <c r="B206" t="s">
        <v>71</v>
      </c>
      <c r="C206" t="s">
        <v>33</v>
      </c>
      <c r="D206">
        <v>91</v>
      </c>
      <c r="E206">
        <v>6</v>
      </c>
      <c r="F206" t="s">
        <v>19</v>
      </c>
      <c r="G206" s="9">
        <v>9000</v>
      </c>
    </row>
    <row r="207" spans="1:7" x14ac:dyDescent="0.3">
      <c r="A207" t="s">
        <v>241</v>
      </c>
      <c r="B207" t="s">
        <v>53</v>
      </c>
      <c r="C207" t="s">
        <v>33</v>
      </c>
      <c r="D207">
        <v>88</v>
      </c>
      <c r="E207">
        <v>34</v>
      </c>
      <c r="F207" t="s">
        <v>10</v>
      </c>
      <c r="G207" s="9">
        <v>4500</v>
      </c>
    </row>
    <row r="208" spans="1:7" x14ac:dyDescent="0.3">
      <c r="A208" t="s">
        <v>242</v>
      </c>
      <c r="B208" t="s">
        <v>21</v>
      </c>
      <c r="C208" t="s">
        <v>33</v>
      </c>
      <c r="D208">
        <v>96</v>
      </c>
      <c r="E208">
        <v>21</v>
      </c>
      <c r="F208" t="s">
        <v>19</v>
      </c>
      <c r="G208" s="9">
        <v>2500</v>
      </c>
    </row>
    <row r="209" spans="1:7" x14ac:dyDescent="0.3">
      <c r="A209" t="s">
        <v>243</v>
      </c>
      <c r="B209" t="s">
        <v>71</v>
      </c>
      <c r="C209" t="s">
        <v>33</v>
      </c>
      <c r="D209">
        <v>89</v>
      </c>
      <c r="E209">
        <v>16</v>
      </c>
      <c r="F209" t="s">
        <v>19</v>
      </c>
      <c r="G209" s="9">
        <v>9000</v>
      </c>
    </row>
    <row r="210" spans="1:7" x14ac:dyDescent="0.3">
      <c r="A210" t="s">
        <v>244</v>
      </c>
      <c r="B210" t="s">
        <v>31</v>
      </c>
      <c r="C210" t="s">
        <v>33</v>
      </c>
      <c r="D210">
        <v>12</v>
      </c>
      <c r="E210">
        <v>8</v>
      </c>
      <c r="F210" t="s">
        <v>19</v>
      </c>
      <c r="G210" s="9">
        <v>3000</v>
      </c>
    </row>
    <row r="211" spans="1:7" x14ac:dyDescent="0.3">
      <c r="A211" t="s">
        <v>245</v>
      </c>
      <c r="B211" t="s">
        <v>8</v>
      </c>
      <c r="C211" t="s">
        <v>26</v>
      </c>
      <c r="D211">
        <v>35</v>
      </c>
      <c r="E211">
        <v>25</v>
      </c>
      <c r="F211" t="s">
        <v>16</v>
      </c>
      <c r="G211" s="9">
        <v>1800</v>
      </c>
    </row>
    <row r="212" spans="1:7" x14ac:dyDescent="0.3">
      <c r="A212" t="s">
        <v>246</v>
      </c>
      <c r="B212" t="s">
        <v>71</v>
      </c>
      <c r="C212" t="s">
        <v>9</v>
      </c>
      <c r="D212">
        <v>81</v>
      </c>
      <c r="E212">
        <v>22</v>
      </c>
      <c r="F212" t="s">
        <v>29</v>
      </c>
      <c r="G212" s="9">
        <v>9000</v>
      </c>
    </row>
    <row r="213" spans="1:7" x14ac:dyDescent="0.3">
      <c r="A213" t="s">
        <v>247</v>
      </c>
      <c r="B213" t="s">
        <v>8</v>
      </c>
      <c r="C213" t="s">
        <v>9</v>
      </c>
      <c r="D213">
        <v>34</v>
      </c>
      <c r="E213">
        <v>19</v>
      </c>
      <c r="F213" t="s">
        <v>29</v>
      </c>
      <c r="G213" s="9">
        <v>1800</v>
      </c>
    </row>
    <row r="214" spans="1:7" x14ac:dyDescent="0.3">
      <c r="A214" t="s">
        <v>248</v>
      </c>
      <c r="B214" t="s">
        <v>25</v>
      </c>
      <c r="C214" t="s">
        <v>15</v>
      </c>
      <c r="D214">
        <v>54</v>
      </c>
      <c r="E214">
        <v>18</v>
      </c>
      <c r="F214" t="s">
        <v>22</v>
      </c>
      <c r="G214" s="9">
        <v>18000</v>
      </c>
    </row>
    <row r="215" spans="1:7" x14ac:dyDescent="0.3">
      <c r="A215" t="s">
        <v>249</v>
      </c>
      <c r="B215" t="s">
        <v>71</v>
      </c>
      <c r="C215" t="s">
        <v>33</v>
      </c>
      <c r="D215">
        <v>104</v>
      </c>
      <c r="E215">
        <v>24</v>
      </c>
      <c r="F215" t="s">
        <v>22</v>
      </c>
      <c r="G215" s="9">
        <v>9000</v>
      </c>
    </row>
    <row r="216" spans="1:7" x14ac:dyDescent="0.3">
      <c r="A216" t="s">
        <v>250</v>
      </c>
      <c r="B216" t="s">
        <v>25</v>
      </c>
      <c r="C216" t="s">
        <v>26</v>
      </c>
      <c r="D216">
        <v>37</v>
      </c>
      <c r="E216">
        <v>32</v>
      </c>
      <c r="F216" t="s">
        <v>16</v>
      </c>
      <c r="G216" s="9">
        <v>18000</v>
      </c>
    </row>
    <row r="217" spans="1:7" x14ac:dyDescent="0.3">
      <c r="A217" t="s">
        <v>251</v>
      </c>
      <c r="B217" t="s">
        <v>58</v>
      </c>
      <c r="C217" t="s">
        <v>33</v>
      </c>
      <c r="D217">
        <v>34</v>
      </c>
      <c r="E217">
        <v>26</v>
      </c>
      <c r="F217" t="s">
        <v>10</v>
      </c>
      <c r="G217" s="9">
        <v>1000</v>
      </c>
    </row>
    <row r="218" spans="1:7" x14ac:dyDescent="0.3">
      <c r="A218" t="s">
        <v>252</v>
      </c>
      <c r="B218" t="s">
        <v>8</v>
      </c>
      <c r="C218" t="s">
        <v>15</v>
      </c>
      <c r="D218">
        <v>40</v>
      </c>
      <c r="E218">
        <v>30</v>
      </c>
      <c r="F218" t="s">
        <v>29</v>
      </c>
      <c r="G218" s="9">
        <v>1800</v>
      </c>
    </row>
    <row r="219" spans="1:7" x14ac:dyDescent="0.3">
      <c r="A219" t="s">
        <v>253</v>
      </c>
      <c r="B219" t="s">
        <v>58</v>
      </c>
      <c r="C219" t="s">
        <v>9</v>
      </c>
      <c r="D219">
        <v>94</v>
      </c>
      <c r="E219">
        <v>19</v>
      </c>
      <c r="F219" t="s">
        <v>22</v>
      </c>
      <c r="G219" s="9">
        <v>1000</v>
      </c>
    </row>
    <row r="220" spans="1:7" x14ac:dyDescent="0.3">
      <c r="A220" t="s">
        <v>254</v>
      </c>
      <c r="B220" t="s">
        <v>31</v>
      </c>
      <c r="C220" t="s">
        <v>33</v>
      </c>
      <c r="D220">
        <v>66</v>
      </c>
      <c r="E220">
        <v>21</v>
      </c>
      <c r="F220" t="s">
        <v>22</v>
      </c>
      <c r="G220" s="9">
        <v>3000</v>
      </c>
    </row>
    <row r="221" spans="1:7" x14ac:dyDescent="0.3">
      <c r="A221" t="s">
        <v>255</v>
      </c>
      <c r="B221" t="s">
        <v>25</v>
      </c>
      <c r="C221" t="s">
        <v>33</v>
      </c>
      <c r="D221">
        <v>90</v>
      </c>
      <c r="E221">
        <v>25</v>
      </c>
      <c r="F221" t="s">
        <v>16</v>
      </c>
      <c r="G221" s="9">
        <v>18000</v>
      </c>
    </row>
    <row r="222" spans="1:7" x14ac:dyDescent="0.3">
      <c r="A222" t="s">
        <v>256</v>
      </c>
      <c r="B222" t="s">
        <v>43</v>
      </c>
      <c r="C222" t="s">
        <v>33</v>
      </c>
      <c r="D222">
        <v>98</v>
      </c>
      <c r="E222">
        <v>6</v>
      </c>
      <c r="F222" t="s">
        <v>29</v>
      </c>
      <c r="G222" s="9">
        <v>2000</v>
      </c>
    </row>
    <row r="223" spans="1:7" x14ac:dyDescent="0.3">
      <c r="A223" t="s">
        <v>257</v>
      </c>
      <c r="B223" t="s">
        <v>71</v>
      </c>
      <c r="C223" t="s">
        <v>15</v>
      </c>
      <c r="D223">
        <v>90</v>
      </c>
      <c r="E223">
        <v>33</v>
      </c>
      <c r="F223" t="s">
        <v>29</v>
      </c>
      <c r="G223" s="9">
        <v>9000</v>
      </c>
    </row>
    <row r="224" spans="1:7" x14ac:dyDescent="0.3">
      <c r="A224" t="s">
        <v>258</v>
      </c>
      <c r="B224" t="s">
        <v>48</v>
      </c>
      <c r="C224" t="s">
        <v>26</v>
      </c>
      <c r="D224">
        <v>20</v>
      </c>
      <c r="E224">
        <v>12</v>
      </c>
      <c r="F224" t="s">
        <v>22</v>
      </c>
      <c r="G224" s="9">
        <v>10000</v>
      </c>
    </row>
    <row r="225" spans="1:7" x14ac:dyDescent="0.3">
      <c r="A225" t="s">
        <v>259</v>
      </c>
      <c r="B225" t="s">
        <v>14</v>
      </c>
      <c r="C225" t="s">
        <v>15</v>
      </c>
      <c r="D225">
        <v>76</v>
      </c>
      <c r="E225">
        <v>34</v>
      </c>
      <c r="F225" t="s">
        <v>16</v>
      </c>
      <c r="G225" s="9">
        <v>1500</v>
      </c>
    </row>
    <row r="226" spans="1:7" x14ac:dyDescent="0.3">
      <c r="A226" t="s">
        <v>260</v>
      </c>
      <c r="B226" t="s">
        <v>28</v>
      </c>
      <c r="C226" t="s">
        <v>26</v>
      </c>
      <c r="D226">
        <v>98</v>
      </c>
      <c r="E226">
        <v>29</v>
      </c>
      <c r="F226" t="s">
        <v>29</v>
      </c>
      <c r="G226" s="9">
        <v>3500</v>
      </c>
    </row>
    <row r="227" spans="1:7" x14ac:dyDescent="0.3">
      <c r="A227" t="s">
        <v>261</v>
      </c>
      <c r="B227" t="s">
        <v>58</v>
      </c>
      <c r="C227" t="s">
        <v>9</v>
      </c>
      <c r="D227">
        <v>39</v>
      </c>
      <c r="E227">
        <v>12</v>
      </c>
      <c r="F227" t="s">
        <v>19</v>
      </c>
      <c r="G227" s="9">
        <v>1000</v>
      </c>
    </row>
    <row r="228" spans="1:7" x14ac:dyDescent="0.3">
      <c r="A228" t="s">
        <v>262</v>
      </c>
      <c r="B228" t="s">
        <v>18</v>
      </c>
      <c r="C228" t="s">
        <v>15</v>
      </c>
      <c r="D228">
        <v>78</v>
      </c>
      <c r="E228">
        <v>21</v>
      </c>
      <c r="F228" t="s">
        <v>10</v>
      </c>
      <c r="G228" s="9">
        <v>11500</v>
      </c>
    </row>
    <row r="229" spans="1:7" x14ac:dyDescent="0.3">
      <c r="A229" t="s">
        <v>263</v>
      </c>
      <c r="B229" t="s">
        <v>58</v>
      </c>
      <c r="C229" t="s">
        <v>15</v>
      </c>
      <c r="D229">
        <v>61</v>
      </c>
      <c r="E229">
        <v>34</v>
      </c>
      <c r="F229" t="s">
        <v>29</v>
      </c>
      <c r="G229" s="9">
        <v>1000</v>
      </c>
    </row>
    <row r="230" spans="1:7" x14ac:dyDescent="0.3">
      <c r="A230" t="s">
        <v>264</v>
      </c>
      <c r="B230" t="s">
        <v>53</v>
      </c>
      <c r="C230" t="s">
        <v>26</v>
      </c>
      <c r="D230">
        <v>38</v>
      </c>
      <c r="E230">
        <v>20</v>
      </c>
      <c r="F230" t="s">
        <v>19</v>
      </c>
      <c r="G230" s="9">
        <v>4500</v>
      </c>
    </row>
    <row r="231" spans="1:7" x14ac:dyDescent="0.3">
      <c r="A231" t="s">
        <v>265</v>
      </c>
      <c r="B231" t="s">
        <v>18</v>
      </c>
      <c r="C231" t="s">
        <v>26</v>
      </c>
      <c r="D231">
        <v>61</v>
      </c>
      <c r="E231">
        <v>28</v>
      </c>
      <c r="F231" t="s">
        <v>10</v>
      </c>
      <c r="G231" s="9">
        <v>11500</v>
      </c>
    </row>
    <row r="232" spans="1:7" x14ac:dyDescent="0.3">
      <c r="A232" t="s">
        <v>266</v>
      </c>
      <c r="B232" t="s">
        <v>61</v>
      </c>
      <c r="C232" t="s">
        <v>9</v>
      </c>
      <c r="D232">
        <v>96</v>
      </c>
      <c r="E232">
        <v>24</v>
      </c>
      <c r="F232" t="s">
        <v>10</v>
      </c>
      <c r="G232" s="9">
        <v>1200</v>
      </c>
    </row>
    <row r="233" spans="1:7" x14ac:dyDescent="0.3">
      <c r="A233" t="s">
        <v>267</v>
      </c>
      <c r="B233" t="s">
        <v>45</v>
      </c>
      <c r="C233" t="s">
        <v>9</v>
      </c>
      <c r="D233">
        <v>68</v>
      </c>
      <c r="E233">
        <v>26</v>
      </c>
      <c r="F233" t="s">
        <v>22</v>
      </c>
      <c r="G233" s="9">
        <v>12000</v>
      </c>
    </row>
    <row r="234" spans="1:7" x14ac:dyDescent="0.3">
      <c r="A234" t="s">
        <v>268</v>
      </c>
      <c r="B234" t="s">
        <v>63</v>
      </c>
      <c r="C234" t="s">
        <v>33</v>
      </c>
      <c r="D234">
        <v>61</v>
      </c>
      <c r="E234">
        <v>23</v>
      </c>
      <c r="F234" t="s">
        <v>22</v>
      </c>
      <c r="G234" s="9">
        <v>800</v>
      </c>
    </row>
    <row r="235" spans="1:7" x14ac:dyDescent="0.3">
      <c r="A235" t="s">
        <v>269</v>
      </c>
      <c r="B235" t="s">
        <v>8</v>
      </c>
      <c r="C235" t="s">
        <v>33</v>
      </c>
      <c r="D235">
        <v>83</v>
      </c>
      <c r="E235">
        <v>25</v>
      </c>
      <c r="F235" t="s">
        <v>19</v>
      </c>
      <c r="G235" s="9">
        <v>1800</v>
      </c>
    </row>
    <row r="236" spans="1:7" x14ac:dyDescent="0.3">
      <c r="A236" t="s">
        <v>270</v>
      </c>
      <c r="B236" t="s">
        <v>18</v>
      </c>
      <c r="C236" t="s">
        <v>26</v>
      </c>
      <c r="D236">
        <v>40</v>
      </c>
      <c r="E236">
        <v>18</v>
      </c>
      <c r="F236" t="s">
        <v>19</v>
      </c>
      <c r="G236" s="9">
        <v>11500</v>
      </c>
    </row>
    <row r="237" spans="1:7" x14ac:dyDescent="0.3">
      <c r="A237" t="s">
        <v>271</v>
      </c>
      <c r="B237" t="s">
        <v>65</v>
      </c>
      <c r="C237" t="s">
        <v>15</v>
      </c>
      <c r="D237">
        <v>90</v>
      </c>
      <c r="E237">
        <v>25</v>
      </c>
      <c r="F237" t="s">
        <v>22</v>
      </c>
      <c r="G237" s="9">
        <v>5500</v>
      </c>
    </row>
    <row r="238" spans="1:7" x14ac:dyDescent="0.3">
      <c r="A238" t="s">
        <v>272</v>
      </c>
      <c r="B238" t="s">
        <v>14</v>
      </c>
      <c r="C238" t="s">
        <v>26</v>
      </c>
      <c r="D238">
        <v>105</v>
      </c>
      <c r="E238">
        <v>9</v>
      </c>
      <c r="F238" t="s">
        <v>19</v>
      </c>
      <c r="G238" s="9">
        <v>1500</v>
      </c>
    </row>
    <row r="239" spans="1:7" x14ac:dyDescent="0.3">
      <c r="A239" t="s">
        <v>273</v>
      </c>
      <c r="B239" t="s">
        <v>43</v>
      </c>
      <c r="C239" t="s">
        <v>33</v>
      </c>
      <c r="D239">
        <v>45</v>
      </c>
      <c r="E239">
        <v>17</v>
      </c>
      <c r="F239" t="s">
        <v>29</v>
      </c>
      <c r="G239" s="9">
        <v>2000</v>
      </c>
    </row>
    <row r="240" spans="1:7" x14ac:dyDescent="0.3">
      <c r="A240" t="s">
        <v>274</v>
      </c>
      <c r="B240" t="s">
        <v>43</v>
      </c>
      <c r="C240" t="s">
        <v>33</v>
      </c>
      <c r="D240">
        <v>41</v>
      </c>
      <c r="E240">
        <v>17</v>
      </c>
      <c r="F240" t="s">
        <v>19</v>
      </c>
      <c r="G240" s="9">
        <v>2000</v>
      </c>
    </row>
    <row r="241" spans="1:7" x14ac:dyDescent="0.3">
      <c r="A241" t="s">
        <v>275</v>
      </c>
      <c r="B241" t="s">
        <v>18</v>
      </c>
      <c r="C241" t="s">
        <v>33</v>
      </c>
      <c r="D241">
        <v>84</v>
      </c>
      <c r="E241">
        <v>17</v>
      </c>
      <c r="F241" t="s">
        <v>22</v>
      </c>
      <c r="G241" s="9">
        <v>11500</v>
      </c>
    </row>
    <row r="242" spans="1:7" x14ac:dyDescent="0.3">
      <c r="A242" t="s">
        <v>276</v>
      </c>
      <c r="B242" t="s">
        <v>18</v>
      </c>
      <c r="C242" t="s">
        <v>26</v>
      </c>
      <c r="D242">
        <v>88</v>
      </c>
      <c r="E242">
        <v>27</v>
      </c>
      <c r="F242" t="s">
        <v>10</v>
      </c>
      <c r="G242" s="9">
        <v>11500</v>
      </c>
    </row>
    <row r="243" spans="1:7" x14ac:dyDescent="0.3">
      <c r="A243" t="s">
        <v>277</v>
      </c>
      <c r="B243" t="s">
        <v>8</v>
      </c>
      <c r="C243" t="s">
        <v>15</v>
      </c>
      <c r="D243">
        <v>45</v>
      </c>
      <c r="E243">
        <v>23</v>
      </c>
      <c r="F243" t="s">
        <v>16</v>
      </c>
      <c r="G243" s="9">
        <v>1800</v>
      </c>
    </row>
    <row r="244" spans="1:7" x14ac:dyDescent="0.3">
      <c r="A244" t="s">
        <v>278</v>
      </c>
      <c r="B244" t="s">
        <v>18</v>
      </c>
      <c r="C244" t="s">
        <v>33</v>
      </c>
      <c r="D244">
        <v>11</v>
      </c>
      <c r="E244">
        <v>19</v>
      </c>
      <c r="F244" t="s">
        <v>16</v>
      </c>
      <c r="G244" s="9">
        <v>11500</v>
      </c>
    </row>
    <row r="245" spans="1:7" x14ac:dyDescent="0.3">
      <c r="A245" t="s">
        <v>279</v>
      </c>
      <c r="B245" t="s">
        <v>38</v>
      </c>
      <c r="C245" t="s">
        <v>33</v>
      </c>
      <c r="D245">
        <v>35</v>
      </c>
      <c r="E245">
        <v>10</v>
      </c>
      <c r="F245" t="s">
        <v>22</v>
      </c>
      <c r="G245" s="9">
        <v>1500</v>
      </c>
    </row>
    <row r="246" spans="1:7" x14ac:dyDescent="0.3">
      <c r="A246" t="s">
        <v>280</v>
      </c>
      <c r="B246" t="s">
        <v>38</v>
      </c>
      <c r="C246" t="s">
        <v>9</v>
      </c>
      <c r="D246">
        <v>39</v>
      </c>
      <c r="E246">
        <v>19</v>
      </c>
      <c r="F246" t="s">
        <v>16</v>
      </c>
      <c r="G246" s="9">
        <v>1500</v>
      </c>
    </row>
    <row r="247" spans="1:7" x14ac:dyDescent="0.3">
      <c r="A247" t="s">
        <v>281</v>
      </c>
      <c r="B247" t="s">
        <v>8</v>
      </c>
      <c r="C247" t="s">
        <v>9</v>
      </c>
      <c r="D247">
        <v>66</v>
      </c>
      <c r="E247">
        <v>19</v>
      </c>
      <c r="F247" t="s">
        <v>16</v>
      </c>
      <c r="G247" s="9">
        <v>1800</v>
      </c>
    </row>
    <row r="248" spans="1:7" x14ac:dyDescent="0.3">
      <c r="A248" t="s">
        <v>282</v>
      </c>
      <c r="B248" t="s">
        <v>18</v>
      </c>
      <c r="C248" t="s">
        <v>26</v>
      </c>
      <c r="D248">
        <v>99</v>
      </c>
      <c r="E248">
        <v>28</v>
      </c>
      <c r="F248" t="s">
        <v>22</v>
      </c>
      <c r="G248" s="9">
        <v>11500</v>
      </c>
    </row>
    <row r="249" spans="1:7" x14ac:dyDescent="0.3">
      <c r="A249" t="s">
        <v>283</v>
      </c>
      <c r="B249" t="s">
        <v>38</v>
      </c>
      <c r="C249" t="s">
        <v>33</v>
      </c>
      <c r="D249">
        <v>10</v>
      </c>
      <c r="E249">
        <v>18</v>
      </c>
      <c r="F249" t="s">
        <v>22</v>
      </c>
      <c r="G249" s="9">
        <v>1500</v>
      </c>
    </row>
    <row r="250" spans="1:7" x14ac:dyDescent="0.3">
      <c r="A250" t="s">
        <v>284</v>
      </c>
      <c r="B250" t="s">
        <v>28</v>
      </c>
      <c r="C250" t="s">
        <v>15</v>
      </c>
      <c r="D250">
        <v>33</v>
      </c>
      <c r="E250">
        <v>5</v>
      </c>
      <c r="F250" t="s">
        <v>16</v>
      </c>
      <c r="G250" s="9">
        <v>3500</v>
      </c>
    </row>
    <row r="251" spans="1:7" x14ac:dyDescent="0.3">
      <c r="A251" t="s">
        <v>285</v>
      </c>
      <c r="B251" t="s">
        <v>14</v>
      </c>
      <c r="C251" t="s">
        <v>9</v>
      </c>
      <c r="D251">
        <v>78</v>
      </c>
      <c r="E251">
        <v>29</v>
      </c>
      <c r="F251" t="s">
        <v>22</v>
      </c>
      <c r="G251" s="9">
        <v>1500</v>
      </c>
    </row>
    <row r="252" spans="1:7" x14ac:dyDescent="0.3">
      <c r="A252" t="s">
        <v>286</v>
      </c>
      <c r="B252" t="s">
        <v>45</v>
      </c>
      <c r="C252" t="s">
        <v>15</v>
      </c>
      <c r="D252">
        <v>13</v>
      </c>
      <c r="E252">
        <v>28</v>
      </c>
      <c r="F252" t="s">
        <v>29</v>
      </c>
      <c r="G252" s="9">
        <v>12000</v>
      </c>
    </row>
    <row r="253" spans="1:7" x14ac:dyDescent="0.3">
      <c r="A253" t="s">
        <v>287</v>
      </c>
      <c r="B253" t="s">
        <v>71</v>
      </c>
      <c r="C253" t="s">
        <v>9</v>
      </c>
      <c r="D253">
        <v>45</v>
      </c>
      <c r="E253">
        <v>11</v>
      </c>
      <c r="F253" t="s">
        <v>19</v>
      </c>
      <c r="G253" s="9">
        <v>9000</v>
      </c>
    </row>
    <row r="254" spans="1:7" x14ac:dyDescent="0.3">
      <c r="A254" t="s">
        <v>288</v>
      </c>
      <c r="B254" t="s">
        <v>40</v>
      </c>
      <c r="C254" t="s">
        <v>9</v>
      </c>
      <c r="D254">
        <v>32</v>
      </c>
      <c r="E254">
        <v>24</v>
      </c>
      <c r="F254" t="s">
        <v>19</v>
      </c>
      <c r="G254" s="9">
        <v>17500</v>
      </c>
    </row>
    <row r="255" spans="1:7" x14ac:dyDescent="0.3">
      <c r="A255" t="s">
        <v>289</v>
      </c>
      <c r="B255" t="s">
        <v>14</v>
      </c>
      <c r="C255" t="s">
        <v>15</v>
      </c>
      <c r="D255">
        <v>11</v>
      </c>
      <c r="E255">
        <v>16</v>
      </c>
      <c r="F255" t="s">
        <v>22</v>
      </c>
      <c r="G255" s="9">
        <v>1500</v>
      </c>
    </row>
    <row r="256" spans="1:7" x14ac:dyDescent="0.3">
      <c r="A256" t="s">
        <v>290</v>
      </c>
      <c r="B256" t="s">
        <v>61</v>
      </c>
      <c r="C256" t="s">
        <v>9</v>
      </c>
      <c r="D256">
        <v>84</v>
      </c>
      <c r="E256">
        <v>13</v>
      </c>
      <c r="F256" t="s">
        <v>16</v>
      </c>
      <c r="G256" s="9">
        <v>1200</v>
      </c>
    </row>
    <row r="257" spans="1:7" x14ac:dyDescent="0.3">
      <c r="A257" t="s">
        <v>291</v>
      </c>
      <c r="B257" t="s">
        <v>40</v>
      </c>
      <c r="C257" t="s">
        <v>33</v>
      </c>
      <c r="D257">
        <v>27</v>
      </c>
      <c r="E257">
        <v>22</v>
      </c>
      <c r="F257" t="s">
        <v>10</v>
      </c>
      <c r="G257" s="9">
        <v>17500</v>
      </c>
    </row>
    <row r="258" spans="1:7" x14ac:dyDescent="0.3">
      <c r="A258" t="s">
        <v>292</v>
      </c>
      <c r="B258" t="s">
        <v>48</v>
      </c>
      <c r="C258" t="s">
        <v>26</v>
      </c>
      <c r="D258">
        <v>31</v>
      </c>
      <c r="E258">
        <v>21</v>
      </c>
      <c r="F258" t="s">
        <v>16</v>
      </c>
      <c r="G258" s="9">
        <v>10000</v>
      </c>
    </row>
    <row r="259" spans="1:7" x14ac:dyDescent="0.3">
      <c r="A259" t="s">
        <v>293</v>
      </c>
      <c r="B259" t="s">
        <v>28</v>
      </c>
      <c r="C259" t="s">
        <v>26</v>
      </c>
      <c r="D259">
        <v>100</v>
      </c>
      <c r="E259">
        <v>10</v>
      </c>
      <c r="F259" t="s">
        <v>29</v>
      </c>
      <c r="G259" s="9">
        <v>3500</v>
      </c>
    </row>
    <row r="260" spans="1:7" x14ac:dyDescent="0.3">
      <c r="A260" t="s">
        <v>294</v>
      </c>
      <c r="B260" t="s">
        <v>25</v>
      </c>
      <c r="C260" t="s">
        <v>15</v>
      </c>
      <c r="D260">
        <v>108</v>
      </c>
      <c r="E260">
        <v>15</v>
      </c>
      <c r="F260" t="s">
        <v>29</v>
      </c>
      <c r="G260" s="9">
        <v>18000</v>
      </c>
    </row>
    <row r="261" spans="1:7" x14ac:dyDescent="0.3">
      <c r="A261" t="s">
        <v>295</v>
      </c>
      <c r="B261" t="s">
        <v>21</v>
      </c>
      <c r="C261" t="s">
        <v>33</v>
      </c>
      <c r="D261">
        <v>60</v>
      </c>
      <c r="E261">
        <v>32</v>
      </c>
      <c r="F261" t="s">
        <v>10</v>
      </c>
      <c r="G261" s="9">
        <v>2500</v>
      </c>
    </row>
    <row r="262" spans="1:7" x14ac:dyDescent="0.3">
      <c r="A262" t="s">
        <v>296</v>
      </c>
      <c r="B262" t="s">
        <v>21</v>
      </c>
      <c r="C262" t="s">
        <v>33</v>
      </c>
      <c r="D262">
        <v>11</v>
      </c>
      <c r="E262">
        <v>33</v>
      </c>
      <c r="F262" t="s">
        <v>10</v>
      </c>
      <c r="G262" s="9">
        <v>2500</v>
      </c>
    </row>
    <row r="263" spans="1:7" x14ac:dyDescent="0.3">
      <c r="A263" t="s">
        <v>297</v>
      </c>
      <c r="B263" t="s">
        <v>12</v>
      </c>
      <c r="C263" t="s">
        <v>9</v>
      </c>
      <c r="D263">
        <v>88</v>
      </c>
      <c r="E263">
        <v>32</v>
      </c>
      <c r="F263" t="s">
        <v>10</v>
      </c>
      <c r="G263" s="9">
        <v>2000</v>
      </c>
    </row>
    <row r="264" spans="1:7" x14ac:dyDescent="0.3">
      <c r="A264" t="s">
        <v>298</v>
      </c>
      <c r="B264" t="s">
        <v>53</v>
      </c>
      <c r="C264" t="s">
        <v>15</v>
      </c>
      <c r="D264">
        <v>88</v>
      </c>
      <c r="E264">
        <v>24</v>
      </c>
      <c r="F264" t="s">
        <v>19</v>
      </c>
      <c r="G264" s="9">
        <v>4500</v>
      </c>
    </row>
    <row r="265" spans="1:7" x14ac:dyDescent="0.3">
      <c r="A265" t="s">
        <v>299</v>
      </c>
      <c r="B265" t="s">
        <v>8</v>
      </c>
      <c r="C265" t="s">
        <v>9</v>
      </c>
      <c r="D265">
        <v>33</v>
      </c>
      <c r="E265">
        <v>23</v>
      </c>
      <c r="F265" t="s">
        <v>22</v>
      </c>
      <c r="G265" s="9">
        <v>1800</v>
      </c>
    </row>
    <row r="266" spans="1:7" x14ac:dyDescent="0.3">
      <c r="A266" t="s">
        <v>300</v>
      </c>
      <c r="B266" t="s">
        <v>28</v>
      </c>
      <c r="C266" t="s">
        <v>9</v>
      </c>
      <c r="D266">
        <v>79</v>
      </c>
      <c r="E266">
        <v>28</v>
      </c>
      <c r="F266" t="s">
        <v>16</v>
      </c>
      <c r="G266" s="9">
        <v>3500</v>
      </c>
    </row>
    <row r="267" spans="1:7" x14ac:dyDescent="0.3">
      <c r="A267" t="s">
        <v>301</v>
      </c>
      <c r="B267" t="s">
        <v>63</v>
      </c>
      <c r="C267" t="s">
        <v>26</v>
      </c>
      <c r="D267">
        <v>62</v>
      </c>
      <c r="E267">
        <v>8</v>
      </c>
      <c r="F267" t="s">
        <v>22</v>
      </c>
      <c r="G267" s="9">
        <v>800</v>
      </c>
    </row>
    <row r="268" spans="1:7" x14ac:dyDescent="0.3">
      <c r="A268" t="s">
        <v>302</v>
      </c>
      <c r="B268" t="s">
        <v>40</v>
      </c>
      <c r="C268" t="s">
        <v>33</v>
      </c>
      <c r="D268">
        <v>95</v>
      </c>
      <c r="E268">
        <v>13</v>
      </c>
      <c r="F268" t="s">
        <v>22</v>
      </c>
      <c r="G268" s="9">
        <v>17500</v>
      </c>
    </row>
    <row r="269" spans="1:7" x14ac:dyDescent="0.3">
      <c r="A269" t="s">
        <v>303</v>
      </c>
      <c r="B269" t="s">
        <v>65</v>
      </c>
      <c r="C269" t="s">
        <v>26</v>
      </c>
      <c r="D269">
        <v>23</v>
      </c>
      <c r="E269">
        <v>32</v>
      </c>
      <c r="F269" t="s">
        <v>19</v>
      </c>
      <c r="G269" s="9">
        <v>5500</v>
      </c>
    </row>
    <row r="270" spans="1:7" x14ac:dyDescent="0.3">
      <c r="A270" t="s">
        <v>304</v>
      </c>
      <c r="B270" t="s">
        <v>40</v>
      </c>
      <c r="C270" t="s">
        <v>26</v>
      </c>
      <c r="D270">
        <v>15</v>
      </c>
      <c r="E270">
        <v>21</v>
      </c>
      <c r="F270" t="s">
        <v>19</v>
      </c>
      <c r="G270" s="9">
        <v>17500</v>
      </c>
    </row>
    <row r="271" spans="1:7" x14ac:dyDescent="0.3">
      <c r="A271" t="s">
        <v>305</v>
      </c>
      <c r="B271" t="s">
        <v>71</v>
      </c>
      <c r="C271" t="s">
        <v>26</v>
      </c>
      <c r="D271">
        <v>108</v>
      </c>
      <c r="E271">
        <v>32</v>
      </c>
      <c r="F271" t="s">
        <v>19</v>
      </c>
      <c r="G271" s="9">
        <v>9000</v>
      </c>
    </row>
    <row r="272" spans="1:7" x14ac:dyDescent="0.3">
      <c r="A272" t="s">
        <v>306</v>
      </c>
      <c r="B272" t="s">
        <v>25</v>
      </c>
      <c r="C272" t="s">
        <v>15</v>
      </c>
      <c r="D272">
        <v>97</v>
      </c>
      <c r="E272">
        <v>28</v>
      </c>
      <c r="F272" t="s">
        <v>10</v>
      </c>
      <c r="G272" s="9">
        <v>18000</v>
      </c>
    </row>
    <row r="273" spans="1:7" x14ac:dyDescent="0.3">
      <c r="A273" t="s">
        <v>307</v>
      </c>
      <c r="B273" t="s">
        <v>12</v>
      </c>
      <c r="C273" t="s">
        <v>33</v>
      </c>
      <c r="D273">
        <v>65</v>
      </c>
      <c r="E273">
        <v>6</v>
      </c>
      <c r="F273" t="s">
        <v>29</v>
      </c>
      <c r="G273" s="9">
        <v>2000</v>
      </c>
    </row>
    <row r="274" spans="1:7" x14ac:dyDescent="0.3">
      <c r="A274" t="s">
        <v>308</v>
      </c>
      <c r="B274" t="s">
        <v>48</v>
      </c>
      <c r="C274" t="s">
        <v>9</v>
      </c>
      <c r="D274">
        <v>84</v>
      </c>
      <c r="E274">
        <v>8</v>
      </c>
      <c r="F274" t="s">
        <v>22</v>
      </c>
      <c r="G274" s="9">
        <v>10000</v>
      </c>
    </row>
    <row r="275" spans="1:7" x14ac:dyDescent="0.3">
      <c r="A275" t="s">
        <v>309</v>
      </c>
      <c r="B275" t="s">
        <v>21</v>
      </c>
      <c r="C275" t="s">
        <v>26</v>
      </c>
      <c r="D275">
        <v>10</v>
      </c>
      <c r="E275">
        <v>10</v>
      </c>
      <c r="F275" t="s">
        <v>10</v>
      </c>
      <c r="G275" s="9">
        <v>2500</v>
      </c>
    </row>
    <row r="276" spans="1:7" x14ac:dyDescent="0.3">
      <c r="A276" t="s">
        <v>310</v>
      </c>
      <c r="B276" t="s">
        <v>18</v>
      </c>
      <c r="C276" t="s">
        <v>26</v>
      </c>
      <c r="D276">
        <v>11</v>
      </c>
      <c r="E276">
        <v>33</v>
      </c>
      <c r="F276" t="s">
        <v>19</v>
      </c>
      <c r="G276" s="9">
        <v>11500</v>
      </c>
    </row>
    <row r="277" spans="1:7" x14ac:dyDescent="0.3">
      <c r="A277" t="s">
        <v>311</v>
      </c>
      <c r="B277" t="s">
        <v>12</v>
      </c>
      <c r="C277" t="s">
        <v>33</v>
      </c>
      <c r="D277">
        <v>19</v>
      </c>
      <c r="E277">
        <v>30</v>
      </c>
      <c r="F277" t="s">
        <v>22</v>
      </c>
      <c r="G277" s="9">
        <v>2000</v>
      </c>
    </row>
    <row r="278" spans="1:7" x14ac:dyDescent="0.3">
      <c r="A278" t="s">
        <v>312</v>
      </c>
      <c r="B278" t="s">
        <v>63</v>
      </c>
      <c r="C278" t="s">
        <v>9</v>
      </c>
      <c r="D278">
        <v>45</v>
      </c>
      <c r="E278">
        <v>27</v>
      </c>
      <c r="F278" t="s">
        <v>19</v>
      </c>
      <c r="G278" s="9">
        <v>800</v>
      </c>
    </row>
    <row r="279" spans="1:7" x14ac:dyDescent="0.3">
      <c r="A279" t="s">
        <v>313</v>
      </c>
      <c r="B279" t="s">
        <v>14</v>
      </c>
      <c r="C279" t="s">
        <v>9</v>
      </c>
      <c r="D279">
        <v>84</v>
      </c>
      <c r="E279">
        <v>25</v>
      </c>
      <c r="F279" t="s">
        <v>19</v>
      </c>
      <c r="G279" s="9">
        <v>1500</v>
      </c>
    </row>
    <row r="280" spans="1:7" x14ac:dyDescent="0.3">
      <c r="A280" t="s">
        <v>314</v>
      </c>
      <c r="B280" t="s">
        <v>71</v>
      </c>
      <c r="C280" t="s">
        <v>9</v>
      </c>
      <c r="D280">
        <v>82</v>
      </c>
      <c r="E280">
        <v>23</v>
      </c>
      <c r="F280" t="s">
        <v>29</v>
      </c>
      <c r="G280" s="9">
        <v>9000</v>
      </c>
    </row>
    <row r="281" spans="1:7" x14ac:dyDescent="0.3">
      <c r="A281" t="s">
        <v>315</v>
      </c>
      <c r="B281" t="s">
        <v>21</v>
      </c>
      <c r="C281" t="s">
        <v>9</v>
      </c>
      <c r="D281">
        <v>94</v>
      </c>
      <c r="E281">
        <v>31</v>
      </c>
      <c r="F281" t="s">
        <v>19</v>
      </c>
      <c r="G281" s="9">
        <v>2500</v>
      </c>
    </row>
    <row r="282" spans="1:7" x14ac:dyDescent="0.3">
      <c r="A282" t="s">
        <v>316</v>
      </c>
      <c r="B282" t="s">
        <v>25</v>
      </c>
      <c r="C282" t="s">
        <v>9</v>
      </c>
      <c r="D282">
        <v>39</v>
      </c>
      <c r="E282">
        <v>16</v>
      </c>
      <c r="F282" t="s">
        <v>29</v>
      </c>
      <c r="G282" s="9">
        <v>18000</v>
      </c>
    </row>
    <row r="283" spans="1:7" x14ac:dyDescent="0.3">
      <c r="A283" t="s">
        <v>317</v>
      </c>
      <c r="B283" t="s">
        <v>43</v>
      </c>
      <c r="C283" t="s">
        <v>33</v>
      </c>
      <c r="D283">
        <v>12</v>
      </c>
      <c r="E283">
        <v>16</v>
      </c>
      <c r="F283" t="s">
        <v>29</v>
      </c>
      <c r="G283" s="9">
        <v>2000</v>
      </c>
    </row>
    <row r="284" spans="1:7" x14ac:dyDescent="0.3">
      <c r="A284" t="s">
        <v>318</v>
      </c>
      <c r="B284" t="s">
        <v>48</v>
      </c>
      <c r="C284" t="s">
        <v>9</v>
      </c>
      <c r="D284">
        <v>81</v>
      </c>
      <c r="E284">
        <v>20</v>
      </c>
      <c r="F284" t="s">
        <v>16</v>
      </c>
      <c r="G284" s="9">
        <v>10000</v>
      </c>
    </row>
    <row r="285" spans="1:7" x14ac:dyDescent="0.3">
      <c r="A285" t="s">
        <v>319</v>
      </c>
      <c r="B285" t="s">
        <v>8</v>
      </c>
      <c r="C285" t="s">
        <v>26</v>
      </c>
      <c r="D285">
        <v>48</v>
      </c>
      <c r="E285">
        <v>28</v>
      </c>
      <c r="F285" t="s">
        <v>22</v>
      </c>
      <c r="G285" s="9">
        <v>1800</v>
      </c>
    </row>
    <row r="286" spans="1:7" x14ac:dyDescent="0.3">
      <c r="A286" t="s">
        <v>320</v>
      </c>
      <c r="B286" t="s">
        <v>40</v>
      </c>
      <c r="C286" t="s">
        <v>9</v>
      </c>
      <c r="D286">
        <v>26</v>
      </c>
      <c r="E286">
        <v>23</v>
      </c>
      <c r="F286" t="s">
        <v>29</v>
      </c>
      <c r="G286" s="9">
        <v>17500</v>
      </c>
    </row>
    <row r="287" spans="1:7" x14ac:dyDescent="0.3">
      <c r="A287" t="s">
        <v>321</v>
      </c>
      <c r="B287" t="s">
        <v>71</v>
      </c>
      <c r="C287" t="s">
        <v>26</v>
      </c>
      <c r="D287">
        <v>57</v>
      </c>
      <c r="E287">
        <v>6</v>
      </c>
      <c r="F287" t="s">
        <v>29</v>
      </c>
      <c r="G287" s="9">
        <v>9000</v>
      </c>
    </row>
    <row r="288" spans="1:7" x14ac:dyDescent="0.3">
      <c r="A288" t="s">
        <v>322</v>
      </c>
      <c r="B288" t="s">
        <v>61</v>
      </c>
      <c r="C288" t="s">
        <v>15</v>
      </c>
      <c r="D288">
        <v>48</v>
      </c>
      <c r="E288">
        <v>14</v>
      </c>
      <c r="F288" t="s">
        <v>19</v>
      </c>
      <c r="G288" s="9">
        <v>1200</v>
      </c>
    </row>
    <row r="289" spans="1:7" x14ac:dyDescent="0.3">
      <c r="A289" t="s">
        <v>323</v>
      </c>
      <c r="B289" t="s">
        <v>152</v>
      </c>
      <c r="C289" t="s">
        <v>15</v>
      </c>
      <c r="D289">
        <v>54</v>
      </c>
      <c r="E289">
        <v>19</v>
      </c>
      <c r="F289" t="s">
        <v>29</v>
      </c>
      <c r="G289" s="9">
        <v>1400</v>
      </c>
    </row>
    <row r="290" spans="1:7" x14ac:dyDescent="0.3">
      <c r="A290" t="s">
        <v>324</v>
      </c>
      <c r="B290" t="s">
        <v>31</v>
      </c>
      <c r="C290" t="s">
        <v>9</v>
      </c>
      <c r="D290">
        <v>13</v>
      </c>
      <c r="E290">
        <v>25</v>
      </c>
      <c r="F290" t="s">
        <v>10</v>
      </c>
      <c r="G290" s="9">
        <v>3000</v>
      </c>
    </row>
    <row r="291" spans="1:7" x14ac:dyDescent="0.3">
      <c r="A291" t="s">
        <v>325</v>
      </c>
      <c r="B291" t="s">
        <v>63</v>
      </c>
      <c r="C291" t="s">
        <v>9</v>
      </c>
      <c r="D291">
        <v>104</v>
      </c>
      <c r="E291">
        <v>13</v>
      </c>
      <c r="F291" t="s">
        <v>19</v>
      </c>
      <c r="G291" s="9">
        <v>800</v>
      </c>
    </row>
    <row r="292" spans="1:7" x14ac:dyDescent="0.3">
      <c r="A292" t="s">
        <v>326</v>
      </c>
      <c r="B292" t="s">
        <v>45</v>
      </c>
      <c r="C292" t="s">
        <v>26</v>
      </c>
      <c r="D292">
        <v>72</v>
      </c>
      <c r="E292">
        <v>32</v>
      </c>
      <c r="F292" t="s">
        <v>29</v>
      </c>
      <c r="G292" s="9">
        <v>12000</v>
      </c>
    </row>
    <row r="293" spans="1:7" x14ac:dyDescent="0.3">
      <c r="A293" t="s">
        <v>327</v>
      </c>
      <c r="B293" t="s">
        <v>61</v>
      </c>
      <c r="C293" t="s">
        <v>9</v>
      </c>
      <c r="D293">
        <v>63</v>
      </c>
      <c r="E293">
        <v>29</v>
      </c>
      <c r="F293" t="s">
        <v>10</v>
      </c>
      <c r="G293" s="9">
        <v>1200</v>
      </c>
    </row>
    <row r="294" spans="1:7" x14ac:dyDescent="0.3">
      <c r="A294" t="s">
        <v>328</v>
      </c>
      <c r="B294" t="s">
        <v>58</v>
      </c>
      <c r="C294" t="s">
        <v>26</v>
      </c>
      <c r="D294">
        <v>58</v>
      </c>
      <c r="E294">
        <v>28</v>
      </c>
      <c r="F294" t="s">
        <v>19</v>
      </c>
      <c r="G294" s="9">
        <v>1000</v>
      </c>
    </row>
    <row r="295" spans="1:7" x14ac:dyDescent="0.3">
      <c r="A295" t="s">
        <v>329</v>
      </c>
      <c r="B295" t="s">
        <v>45</v>
      </c>
      <c r="C295" t="s">
        <v>33</v>
      </c>
      <c r="D295">
        <v>103</v>
      </c>
      <c r="E295">
        <v>17</v>
      </c>
      <c r="F295" t="s">
        <v>16</v>
      </c>
      <c r="G295" s="9">
        <v>12000</v>
      </c>
    </row>
    <row r="296" spans="1:7" x14ac:dyDescent="0.3">
      <c r="A296" t="s">
        <v>330</v>
      </c>
      <c r="B296" t="s">
        <v>25</v>
      </c>
      <c r="C296" t="s">
        <v>26</v>
      </c>
      <c r="D296">
        <v>33</v>
      </c>
      <c r="E296">
        <v>13</v>
      </c>
      <c r="F296" t="s">
        <v>16</v>
      </c>
      <c r="G296" s="9">
        <v>18000</v>
      </c>
    </row>
    <row r="297" spans="1:7" x14ac:dyDescent="0.3">
      <c r="A297" t="s">
        <v>331</v>
      </c>
      <c r="B297" t="s">
        <v>8</v>
      </c>
      <c r="C297" t="s">
        <v>9</v>
      </c>
      <c r="D297">
        <v>54</v>
      </c>
      <c r="E297">
        <v>5</v>
      </c>
      <c r="F297" t="s">
        <v>16</v>
      </c>
      <c r="G297" s="9">
        <v>1800</v>
      </c>
    </row>
    <row r="298" spans="1:7" x14ac:dyDescent="0.3">
      <c r="A298" t="s">
        <v>332</v>
      </c>
      <c r="B298" t="s">
        <v>61</v>
      </c>
      <c r="C298" t="s">
        <v>26</v>
      </c>
      <c r="D298">
        <v>92</v>
      </c>
      <c r="E298">
        <v>21</v>
      </c>
      <c r="F298" t="s">
        <v>29</v>
      </c>
      <c r="G298" s="9">
        <v>1200</v>
      </c>
    </row>
    <row r="299" spans="1:7" x14ac:dyDescent="0.3">
      <c r="A299" t="s">
        <v>333</v>
      </c>
      <c r="B299" t="s">
        <v>18</v>
      </c>
      <c r="C299" t="s">
        <v>26</v>
      </c>
      <c r="D299">
        <v>35</v>
      </c>
      <c r="E299">
        <v>30</v>
      </c>
      <c r="F299" t="s">
        <v>22</v>
      </c>
      <c r="G299" s="9">
        <v>11500</v>
      </c>
    </row>
    <row r="300" spans="1:7" x14ac:dyDescent="0.3">
      <c r="A300" t="s">
        <v>334</v>
      </c>
      <c r="B300" t="s">
        <v>12</v>
      </c>
      <c r="C300" t="s">
        <v>33</v>
      </c>
      <c r="D300">
        <v>98</v>
      </c>
      <c r="E300">
        <v>13</v>
      </c>
      <c r="F300" t="s">
        <v>19</v>
      </c>
      <c r="G300" s="9">
        <v>2000</v>
      </c>
    </row>
    <row r="301" spans="1:7" x14ac:dyDescent="0.3">
      <c r="A301" t="s">
        <v>335</v>
      </c>
      <c r="B301" t="s">
        <v>45</v>
      </c>
      <c r="C301" t="s">
        <v>15</v>
      </c>
      <c r="D301">
        <v>49</v>
      </c>
      <c r="E301">
        <v>13</v>
      </c>
      <c r="F301" t="s">
        <v>19</v>
      </c>
      <c r="G301" s="9">
        <v>12000</v>
      </c>
    </row>
    <row r="302" spans="1:7" x14ac:dyDescent="0.3">
      <c r="A302" t="s">
        <v>336</v>
      </c>
      <c r="B302" t="s">
        <v>53</v>
      </c>
      <c r="C302" t="s">
        <v>26</v>
      </c>
      <c r="D302">
        <v>11</v>
      </c>
      <c r="E302">
        <v>21</v>
      </c>
      <c r="F302" t="s">
        <v>10</v>
      </c>
      <c r="G302" s="9">
        <v>4500</v>
      </c>
    </row>
    <row r="303" spans="1:7" x14ac:dyDescent="0.3">
      <c r="A303" t="s">
        <v>337</v>
      </c>
      <c r="B303" t="s">
        <v>58</v>
      </c>
      <c r="C303" t="s">
        <v>15</v>
      </c>
      <c r="D303">
        <v>12</v>
      </c>
      <c r="E303">
        <v>8</v>
      </c>
      <c r="F303" t="s">
        <v>22</v>
      </c>
      <c r="G303" s="9">
        <v>1000</v>
      </c>
    </row>
    <row r="304" spans="1:7" x14ac:dyDescent="0.3">
      <c r="A304" t="s">
        <v>338</v>
      </c>
      <c r="B304" t="s">
        <v>58</v>
      </c>
      <c r="C304" t="s">
        <v>33</v>
      </c>
      <c r="D304">
        <v>73</v>
      </c>
      <c r="E304">
        <v>33</v>
      </c>
      <c r="F304" t="s">
        <v>22</v>
      </c>
      <c r="G304" s="9">
        <v>1000</v>
      </c>
    </row>
    <row r="305" spans="1:7" x14ac:dyDescent="0.3">
      <c r="A305" t="s">
        <v>339</v>
      </c>
      <c r="B305" t="s">
        <v>8</v>
      </c>
      <c r="C305" t="s">
        <v>15</v>
      </c>
      <c r="D305">
        <v>65</v>
      </c>
      <c r="E305">
        <v>25</v>
      </c>
      <c r="F305" t="s">
        <v>10</v>
      </c>
      <c r="G305" s="9">
        <v>1800</v>
      </c>
    </row>
    <row r="306" spans="1:7" x14ac:dyDescent="0.3">
      <c r="A306" t="s">
        <v>340</v>
      </c>
      <c r="B306" t="s">
        <v>152</v>
      </c>
      <c r="C306" t="s">
        <v>15</v>
      </c>
      <c r="D306">
        <v>92</v>
      </c>
      <c r="E306">
        <v>21</v>
      </c>
      <c r="F306" t="s">
        <v>22</v>
      </c>
      <c r="G306" s="9">
        <v>1400</v>
      </c>
    </row>
    <row r="307" spans="1:7" x14ac:dyDescent="0.3">
      <c r="A307" t="s">
        <v>341</v>
      </c>
      <c r="B307" t="s">
        <v>21</v>
      </c>
      <c r="C307" t="s">
        <v>33</v>
      </c>
      <c r="D307">
        <v>10</v>
      </c>
      <c r="E307">
        <v>24</v>
      </c>
      <c r="F307" t="s">
        <v>19</v>
      </c>
      <c r="G307" s="9">
        <v>2500</v>
      </c>
    </row>
    <row r="308" spans="1:7" x14ac:dyDescent="0.3">
      <c r="A308" t="s">
        <v>342</v>
      </c>
      <c r="B308" t="s">
        <v>21</v>
      </c>
      <c r="C308" t="s">
        <v>33</v>
      </c>
      <c r="D308">
        <v>99</v>
      </c>
      <c r="E308">
        <v>27</v>
      </c>
      <c r="F308" t="s">
        <v>10</v>
      </c>
      <c r="G308" s="9">
        <v>2500</v>
      </c>
    </row>
    <row r="309" spans="1:7" x14ac:dyDescent="0.3">
      <c r="A309" t="s">
        <v>343</v>
      </c>
      <c r="B309" t="s">
        <v>38</v>
      </c>
      <c r="C309" t="s">
        <v>26</v>
      </c>
      <c r="D309">
        <v>50</v>
      </c>
      <c r="E309">
        <v>11</v>
      </c>
      <c r="F309" t="s">
        <v>19</v>
      </c>
      <c r="G309" s="9">
        <v>1500</v>
      </c>
    </row>
    <row r="310" spans="1:7" x14ac:dyDescent="0.3">
      <c r="A310" t="s">
        <v>344</v>
      </c>
      <c r="B310" t="s">
        <v>61</v>
      </c>
      <c r="C310" t="s">
        <v>15</v>
      </c>
      <c r="D310">
        <v>19</v>
      </c>
      <c r="E310">
        <v>9</v>
      </c>
      <c r="F310" t="s">
        <v>29</v>
      </c>
      <c r="G310" s="9">
        <v>1200</v>
      </c>
    </row>
    <row r="311" spans="1:7" x14ac:dyDescent="0.3">
      <c r="A311" t="s">
        <v>345</v>
      </c>
      <c r="B311" t="s">
        <v>61</v>
      </c>
      <c r="C311" t="s">
        <v>15</v>
      </c>
      <c r="D311">
        <v>44</v>
      </c>
      <c r="E311">
        <v>22</v>
      </c>
      <c r="F311" t="s">
        <v>19</v>
      </c>
      <c r="G311" s="9">
        <v>1200</v>
      </c>
    </row>
    <row r="312" spans="1:7" x14ac:dyDescent="0.3">
      <c r="A312" t="s">
        <v>346</v>
      </c>
      <c r="B312" t="s">
        <v>18</v>
      </c>
      <c r="C312" t="s">
        <v>9</v>
      </c>
      <c r="D312">
        <v>60</v>
      </c>
      <c r="E312">
        <v>7</v>
      </c>
      <c r="F312" t="s">
        <v>16</v>
      </c>
      <c r="G312" s="9">
        <v>11500</v>
      </c>
    </row>
    <row r="313" spans="1:7" x14ac:dyDescent="0.3">
      <c r="A313" t="s">
        <v>347</v>
      </c>
      <c r="B313" t="s">
        <v>45</v>
      </c>
      <c r="C313" t="s">
        <v>9</v>
      </c>
      <c r="D313">
        <v>29</v>
      </c>
      <c r="E313">
        <v>7</v>
      </c>
      <c r="F313" t="s">
        <v>10</v>
      </c>
      <c r="G313" s="9">
        <v>12000</v>
      </c>
    </row>
    <row r="314" spans="1:7" x14ac:dyDescent="0.3">
      <c r="A314" t="s">
        <v>348</v>
      </c>
      <c r="B314" t="s">
        <v>43</v>
      </c>
      <c r="C314" t="s">
        <v>33</v>
      </c>
      <c r="D314">
        <v>70</v>
      </c>
      <c r="E314">
        <v>19</v>
      </c>
      <c r="F314" t="s">
        <v>22</v>
      </c>
      <c r="G314" s="9">
        <v>2000</v>
      </c>
    </row>
    <row r="315" spans="1:7" x14ac:dyDescent="0.3">
      <c r="A315" t="s">
        <v>349</v>
      </c>
      <c r="B315" t="s">
        <v>31</v>
      </c>
      <c r="C315" t="s">
        <v>9</v>
      </c>
      <c r="D315">
        <v>91</v>
      </c>
      <c r="E315">
        <v>29</v>
      </c>
      <c r="F315" t="s">
        <v>29</v>
      </c>
      <c r="G315" s="9">
        <v>3000</v>
      </c>
    </row>
    <row r="316" spans="1:7" x14ac:dyDescent="0.3">
      <c r="A316" t="s">
        <v>350</v>
      </c>
      <c r="B316" t="s">
        <v>31</v>
      </c>
      <c r="C316" t="s">
        <v>9</v>
      </c>
      <c r="D316">
        <v>24</v>
      </c>
      <c r="E316">
        <v>27</v>
      </c>
      <c r="F316" t="s">
        <v>19</v>
      </c>
      <c r="G316" s="9">
        <v>3000</v>
      </c>
    </row>
    <row r="317" spans="1:7" x14ac:dyDescent="0.3">
      <c r="A317" t="s">
        <v>351</v>
      </c>
      <c r="B317" t="s">
        <v>14</v>
      </c>
      <c r="C317" t="s">
        <v>33</v>
      </c>
      <c r="D317">
        <v>94</v>
      </c>
      <c r="E317">
        <v>9</v>
      </c>
      <c r="F317" t="s">
        <v>19</v>
      </c>
      <c r="G317" s="9">
        <v>1500</v>
      </c>
    </row>
    <row r="318" spans="1:7" x14ac:dyDescent="0.3">
      <c r="A318" t="s">
        <v>352</v>
      </c>
      <c r="B318" t="s">
        <v>61</v>
      </c>
      <c r="C318" t="s">
        <v>15</v>
      </c>
      <c r="D318">
        <v>28</v>
      </c>
      <c r="E318">
        <v>7</v>
      </c>
      <c r="F318" t="s">
        <v>10</v>
      </c>
      <c r="G318" s="9">
        <v>1200</v>
      </c>
    </row>
    <row r="319" spans="1:7" x14ac:dyDescent="0.3">
      <c r="A319" t="s">
        <v>353</v>
      </c>
      <c r="B319" t="s">
        <v>45</v>
      </c>
      <c r="C319" t="s">
        <v>33</v>
      </c>
      <c r="D319">
        <v>107</v>
      </c>
      <c r="E319">
        <v>8</v>
      </c>
      <c r="F319" t="s">
        <v>22</v>
      </c>
      <c r="G319" s="9">
        <v>12000</v>
      </c>
    </row>
    <row r="320" spans="1:7" x14ac:dyDescent="0.3">
      <c r="A320" t="s">
        <v>354</v>
      </c>
      <c r="B320" t="s">
        <v>21</v>
      </c>
      <c r="C320" t="s">
        <v>26</v>
      </c>
      <c r="D320">
        <v>93</v>
      </c>
      <c r="E320">
        <v>12</v>
      </c>
      <c r="F320" t="s">
        <v>29</v>
      </c>
      <c r="G320" s="9">
        <v>2500</v>
      </c>
    </row>
    <row r="321" spans="1:7" x14ac:dyDescent="0.3">
      <c r="A321" t="s">
        <v>355</v>
      </c>
      <c r="B321" t="s">
        <v>58</v>
      </c>
      <c r="C321" t="s">
        <v>26</v>
      </c>
      <c r="D321">
        <v>54</v>
      </c>
      <c r="E321">
        <v>10</v>
      </c>
      <c r="F321" t="s">
        <v>29</v>
      </c>
      <c r="G321" s="9">
        <v>1000</v>
      </c>
    </row>
    <row r="322" spans="1:7" x14ac:dyDescent="0.3">
      <c r="A322" t="s">
        <v>356</v>
      </c>
      <c r="B322" t="s">
        <v>152</v>
      </c>
      <c r="C322" t="s">
        <v>15</v>
      </c>
      <c r="D322">
        <v>30</v>
      </c>
      <c r="E322">
        <v>27</v>
      </c>
      <c r="F322" t="s">
        <v>19</v>
      </c>
      <c r="G322" s="9">
        <v>1400</v>
      </c>
    </row>
    <row r="323" spans="1:7" x14ac:dyDescent="0.3">
      <c r="A323" t="s">
        <v>357</v>
      </c>
      <c r="B323" t="s">
        <v>45</v>
      </c>
      <c r="C323" t="s">
        <v>26</v>
      </c>
      <c r="D323">
        <v>71</v>
      </c>
      <c r="E323">
        <v>22</v>
      </c>
      <c r="F323" t="s">
        <v>16</v>
      </c>
      <c r="G323" s="9">
        <v>12000</v>
      </c>
    </row>
    <row r="324" spans="1:7" x14ac:dyDescent="0.3">
      <c r="A324" t="s">
        <v>358</v>
      </c>
      <c r="B324" t="s">
        <v>25</v>
      </c>
      <c r="C324" t="s">
        <v>15</v>
      </c>
      <c r="D324">
        <v>69</v>
      </c>
      <c r="E324">
        <v>27</v>
      </c>
      <c r="F324" t="s">
        <v>29</v>
      </c>
      <c r="G324" s="9">
        <v>18000</v>
      </c>
    </row>
    <row r="325" spans="1:7" x14ac:dyDescent="0.3">
      <c r="A325" t="s">
        <v>359</v>
      </c>
      <c r="B325" t="s">
        <v>14</v>
      </c>
      <c r="C325" t="s">
        <v>33</v>
      </c>
      <c r="D325">
        <v>64</v>
      </c>
      <c r="E325">
        <v>5</v>
      </c>
      <c r="F325" t="s">
        <v>22</v>
      </c>
      <c r="G325" s="9">
        <v>1500</v>
      </c>
    </row>
    <row r="326" spans="1:7" x14ac:dyDescent="0.3">
      <c r="A326" t="s">
        <v>360</v>
      </c>
      <c r="B326" t="s">
        <v>43</v>
      </c>
      <c r="C326" t="s">
        <v>9</v>
      </c>
      <c r="D326">
        <v>76</v>
      </c>
      <c r="E326">
        <v>26</v>
      </c>
      <c r="F326" t="s">
        <v>29</v>
      </c>
      <c r="G326" s="9">
        <v>2000</v>
      </c>
    </row>
    <row r="327" spans="1:7" x14ac:dyDescent="0.3">
      <c r="A327" t="s">
        <v>361</v>
      </c>
      <c r="B327" t="s">
        <v>58</v>
      </c>
      <c r="C327" t="s">
        <v>15</v>
      </c>
      <c r="D327">
        <v>79</v>
      </c>
      <c r="E327">
        <v>16</v>
      </c>
      <c r="F327" t="s">
        <v>22</v>
      </c>
      <c r="G327" s="9">
        <v>1000</v>
      </c>
    </row>
    <row r="328" spans="1:7" x14ac:dyDescent="0.3">
      <c r="A328" t="s">
        <v>362</v>
      </c>
      <c r="B328" t="s">
        <v>45</v>
      </c>
      <c r="C328" t="s">
        <v>26</v>
      </c>
      <c r="D328">
        <v>74</v>
      </c>
      <c r="E328">
        <v>29</v>
      </c>
      <c r="F328" t="s">
        <v>19</v>
      </c>
      <c r="G328" s="9">
        <v>12000</v>
      </c>
    </row>
    <row r="329" spans="1:7" x14ac:dyDescent="0.3">
      <c r="A329" t="s">
        <v>363</v>
      </c>
      <c r="B329" t="s">
        <v>40</v>
      </c>
      <c r="C329" t="s">
        <v>26</v>
      </c>
      <c r="D329">
        <v>15</v>
      </c>
      <c r="E329">
        <v>14</v>
      </c>
      <c r="F329" t="s">
        <v>29</v>
      </c>
      <c r="G329" s="9">
        <v>17500</v>
      </c>
    </row>
    <row r="330" spans="1:7" x14ac:dyDescent="0.3">
      <c r="A330" t="s">
        <v>364</v>
      </c>
      <c r="B330" t="s">
        <v>8</v>
      </c>
      <c r="C330" t="s">
        <v>26</v>
      </c>
      <c r="D330">
        <v>98</v>
      </c>
      <c r="E330">
        <v>22</v>
      </c>
      <c r="F330" t="s">
        <v>16</v>
      </c>
      <c r="G330" s="9">
        <v>1800</v>
      </c>
    </row>
    <row r="331" spans="1:7" x14ac:dyDescent="0.3">
      <c r="A331" t="s">
        <v>365</v>
      </c>
      <c r="B331" t="s">
        <v>12</v>
      </c>
      <c r="C331" t="s">
        <v>9</v>
      </c>
      <c r="D331">
        <v>15</v>
      </c>
      <c r="E331">
        <v>7</v>
      </c>
      <c r="F331" t="s">
        <v>10</v>
      </c>
      <c r="G331" s="9">
        <v>2000</v>
      </c>
    </row>
    <row r="332" spans="1:7" x14ac:dyDescent="0.3">
      <c r="A332" t="s">
        <v>366</v>
      </c>
      <c r="B332" t="s">
        <v>71</v>
      </c>
      <c r="C332" t="s">
        <v>33</v>
      </c>
      <c r="D332">
        <v>63</v>
      </c>
      <c r="E332">
        <v>21</v>
      </c>
      <c r="F332" t="s">
        <v>22</v>
      </c>
      <c r="G332" s="9">
        <v>9000</v>
      </c>
    </row>
    <row r="333" spans="1:7" x14ac:dyDescent="0.3">
      <c r="A333" t="s">
        <v>367</v>
      </c>
      <c r="B333" t="s">
        <v>58</v>
      </c>
      <c r="C333" t="s">
        <v>33</v>
      </c>
      <c r="D333">
        <v>106</v>
      </c>
      <c r="E333">
        <v>27</v>
      </c>
      <c r="F333" t="s">
        <v>22</v>
      </c>
      <c r="G333" s="9">
        <v>1000</v>
      </c>
    </row>
    <row r="334" spans="1:7" x14ac:dyDescent="0.3">
      <c r="A334" t="s">
        <v>368</v>
      </c>
      <c r="B334" t="s">
        <v>65</v>
      </c>
      <c r="C334" t="s">
        <v>15</v>
      </c>
      <c r="D334">
        <v>21</v>
      </c>
      <c r="E334">
        <v>24</v>
      </c>
      <c r="F334" t="s">
        <v>29</v>
      </c>
      <c r="G334" s="9">
        <v>5500</v>
      </c>
    </row>
    <row r="335" spans="1:7" x14ac:dyDescent="0.3">
      <c r="A335" t="s">
        <v>369</v>
      </c>
      <c r="B335" t="s">
        <v>53</v>
      </c>
      <c r="C335" t="s">
        <v>33</v>
      </c>
      <c r="D335">
        <v>15</v>
      </c>
      <c r="E335">
        <v>15</v>
      </c>
      <c r="F335" t="s">
        <v>29</v>
      </c>
      <c r="G335" s="9">
        <v>4500</v>
      </c>
    </row>
    <row r="336" spans="1:7" x14ac:dyDescent="0.3">
      <c r="A336" t="s">
        <v>370</v>
      </c>
      <c r="B336" t="s">
        <v>43</v>
      </c>
      <c r="C336" t="s">
        <v>33</v>
      </c>
      <c r="D336">
        <v>17</v>
      </c>
      <c r="E336">
        <v>25</v>
      </c>
      <c r="F336" t="s">
        <v>29</v>
      </c>
      <c r="G336" s="9">
        <v>2000</v>
      </c>
    </row>
    <row r="337" spans="1:7" x14ac:dyDescent="0.3">
      <c r="A337" t="s">
        <v>371</v>
      </c>
      <c r="B337" t="s">
        <v>48</v>
      </c>
      <c r="C337" t="s">
        <v>15</v>
      </c>
      <c r="D337">
        <v>11</v>
      </c>
      <c r="E337">
        <v>15</v>
      </c>
      <c r="F337" t="s">
        <v>16</v>
      </c>
      <c r="G337" s="9">
        <v>10000</v>
      </c>
    </row>
    <row r="338" spans="1:7" x14ac:dyDescent="0.3">
      <c r="A338" t="s">
        <v>372</v>
      </c>
      <c r="B338" t="s">
        <v>48</v>
      </c>
      <c r="C338" t="s">
        <v>15</v>
      </c>
      <c r="D338">
        <v>39</v>
      </c>
      <c r="E338">
        <v>34</v>
      </c>
      <c r="F338" t="s">
        <v>22</v>
      </c>
      <c r="G338" s="9">
        <v>10000</v>
      </c>
    </row>
    <row r="339" spans="1:7" x14ac:dyDescent="0.3">
      <c r="A339" t="s">
        <v>373</v>
      </c>
      <c r="B339" t="s">
        <v>28</v>
      </c>
      <c r="C339" t="s">
        <v>9</v>
      </c>
      <c r="D339">
        <v>62</v>
      </c>
      <c r="E339">
        <v>14</v>
      </c>
      <c r="F339" t="s">
        <v>19</v>
      </c>
      <c r="G339" s="9">
        <v>3500</v>
      </c>
    </row>
    <row r="340" spans="1:7" x14ac:dyDescent="0.3">
      <c r="A340" t="s">
        <v>374</v>
      </c>
      <c r="B340" t="s">
        <v>40</v>
      </c>
      <c r="C340" t="s">
        <v>26</v>
      </c>
      <c r="D340">
        <v>34</v>
      </c>
      <c r="E340">
        <v>21</v>
      </c>
      <c r="F340" t="s">
        <v>16</v>
      </c>
      <c r="G340" s="9">
        <v>17500</v>
      </c>
    </row>
    <row r="341" spans="1:7" x14ac:dyDescent="0.3">
      <c r="A341" t="s">
        <v>375</v>
      </c>
      <c r="B341" t="s">
        <v>43</v>
      </c>
      <c r="C341" t="s">
        <v>9</v>
      </c>
      <c r="D341">
        <v>20</v>
      </c>
      <c r="E341">
        <v>19</v>
      </c>
      <c r="F341" t="s">
        <v>10</v>
      </c>
      <c r="G341" s="9">
        <v>2000</v>
      </c>
    </row>
    <row r="342" spans="1:7" x14ac:dyDescent="0.3">
      <c r="A342" t="s">
        <v>376</v>
      </c>
      <c r="B342" t="s">
        <v>25</v>
      </c>
      <c r="C342" t="s">
        <v>26</v>
      </c>
      <c r="D342">
        <v>78</v>
      </c>
      <c r="E342">
        <v>17</v>
      </c>
      <c r="F342" t="s">
        <v>29</v>
      </c>
      <c r="G342" s="9">
        <v>18000</v>
      </c>
    </row>
    <row r="343" spans="1:7" x14ac:dyDescent="0.3">
      <c r="A343" t="s">
        <v>377</v>
      </c>
      <c r="B343" t="s">
        <v>40</v>
      </c>
      <c r="C343" t="s">
        <v>26</v>
      </c>
      <c r="D343">
        <v>65</v>
      </c>
      <c r="E343">
        <v>22</v>
      </c>
      <c r="F343" t="s">
        <v>19</v>
      </c>
      <c r="G343" s="9">
        <v>17500</v>
      </c>
    </row>
    <row r="344" spans="1:7" x14ac:dyDescent="0.3">
      <c r="A344" t="s">
        <v>378</v>
      </c>
      <c r="B344" t="s">
        <v>65</v>
      </c>
      <c r="C344" t="s">
        <v>9</v>
      </c>
      <c r="D344">
        <v>67</v>
      </c>
      <c r="E344">
        <v>28</v>
      </c>
      <c r="F344" t="s">
        <v>19</v>
      </c>
      <c r="G344" s="9">
        <v>5500</v>
      </c>
    </row>
    <row r="345" spans="1:7" x14ac:dyDescent="0.3">
      <c r="A345" t="s">
        <v>379</v>
      </c>
      <c r="B345" t="s">
        <v>28</v>
      </c>
      <c r="C345" t="s">
        <v>26</v>
      </c>
      <c r="D345">
        <v>19</v>
      </c>
      <c r="E345">
        <v>32</v>
      </c>
      <c r="F345" t="s">
        <v>19</v>
      </c>
      <c r="G345" s="9">
        <v>3500</v>
      </c>
    </row>
    <row r="346" spans="1:7" x14ac:dyDescent="0.3">
      <c r="A346" t="s">
        <v>380</v>
      </c>
      <c r="B346" t="s">
        <v>61</v>
      </c>
      <c r="C346" t="s">
        <v>15</v>
      </c>
      <c r="D346">
        <v>13</v>
      </c>
      <c r="E346">
        <v>8</v>
      </c>
      <c r="F346" t="s">
        <v>16</v>
      </c>
      <c r="G346" s="9">
        <v>1200</v>
      </c>
    </row>
    <row r="347" spans="1:7" x14ac:dyDescent="0.3">
      <c r="A347" t="s">
        <v>381</v>
      </c>
      <c r="B347" t="s">
        <v>43</v>
      </c>
      <c r="C347" t="s">
        <v>15</v>
      </c>
      <c r="D347">
        <v>34</v>
      </c>
      <c r="E347">
        <v>21</v>
      </c>
      <c r="F347" t="s">
        <v>19</v>
      </c>
      <c r="G347" s="9">
        <v>2000</v>
      </c>
    </row>
    <row r="348" spans="1:7" x14ac:dyDescent="0.3">
      <c r="A348" t="s">
        <v>382</v>
      </c>
      <c r="B348" t="s">
        <v>18</v>
      </c>
      <c r="C348" t="s">
        <v>26</v>
      </c>
      <c r="D348">
        <v>49</v>
      </c>
      <c r="E348">
        <v>18</v>
      </c>
      <c r="F348" t="s">
        <v>16</v>
      </c>
      <c r="G348" s="9">
        <v>11500</v>
      </c>
    </row>
    <row r="349" spans="1:7" x14ac:dyDescent="0.3">
      <c r="A349" t="s">
        <v>383</v>
      </c>
      <c r="B349" t="s">
        <v>38</v>
      </c>
      <c r="C349" t="s">
        <v>33</v>
      </c>
      <c r="D349">
        <v>100</v>
      </c>
      <c r="E349">
        <v>19</v>
      </c>
      <c r="F349" t="s">
        <v>29</v>
      </c>
      <c r="G349" s="9">
        <v>1500</v>
      </c>
    </row>
    <row r="350" spans="1:7" x14ac:dyDescent="0.3">
      <c r="A350" t="s">
        <v>384</v>
      </c>
      <c r="B350" t="s">
        <v>18</v>
      </c>
      <c r="C350" t="s">
        <v>15</v>
      </c>
      <c r="D350">
        <v>62</v>
      </c>
      <c r="E350">
        <v>18</v>
      </c>
      <c r="F350" t="s">
        <v>29</v>
      </c>
      <c r="G350" s="9">
        <v>11500</v>
      </c>
    </row>
    <row r="351" spans="1:7" x14ac:dyDescent="0.3">
      <c r="A351" t="s">
        <v>385</v>
      </c>
      <c r="B351" t="s">
        <v>61</v>
      </c>
      <c r="C351" t="s">
        <v>15</v>
      </c>
      <c r="D351">
        <v>31</v>
      </c>
      <c r="E351">
        <v>26</v>
      </c>
      <c r="F351" t="s">
        <v>10</v>
      </c>
      <c r="G351" s="9">
        <v>1200</v>
      </c>
    </row>
    <row r="352" spans="1:7" x14ac:dyDescent="0.3">
      <c r="A352" t="s">
        <v>386</v>
      </c>
      <c r="B352" t="s">
        <v>45</v>
      </c>
      <c r="C352" t="s">
        <v>26</v>
      </c>
      <c r="D352">
        <v>70</v>
      </c>
      <c r="E352">
        <v>18</v>
      </c>
      <c r="F352" t="s">
        <v>22</v>
      </c>
      <c r="G352" s="9">
        <v>12000</v>
      </c>
    </row>
    <row r="353" spans="1:7" x14ac:dyDescent="0.3">
      <c r="A353" t="s">
        <v>387</v>
      </c>
      <c r="B353" t="s">
        <v>152</v>
      </c>
      <c r="C353" t="s">
        <v>15</v>
      </c>
      <c r="D353">
        <v>61</v>
      </c>
      <c r="E353">
        <v>16</v>
      </c>
      <c r="F353" t="s">
        <v>29</v>
      </c>
      <c r="G353" s="9">
        <v>1400</v>
      </c>
    </row>
    <row r="354" spans="1:7" x14ac:dyDescent="0.3">
      <c r="A354" t="s">
        <v>388</v>
      </c>
      <c r="B354" t="s">
        <v>71</v>
      </c>
      <c r="C354" t="s">
        <v>15</v>
      </c>
      <c r="D354">
        <v>108</v>
      </c>
      <c r="E354">
        <v>21</v>
      </c>
      <c r="F354" t="s">
        <v>29</v>
      </c>
      <c r="G354" s="9">
        <v>9000</v>
      </c>
    </row>
    <row r="355" spans="1:7" x14ac:dyDescent="0.3">
      <c r="A355" t="s">
        <v>389</v>
      </c>
      <c r="B355" t="s">
        <v>18</v>
      </c>
      <c r="C355" t="s">
        <v>15</v>
      </c>
      <c r="D355">
        <v>77</v>
      </c>
      <c r="E355">
        <v>31</v>
      </c>
      <c r="F355" t="s">
        <v>16</v>
      </c>
      <c r="G355" s="9">
        <v>11500</v>
      </c>
    </row>
    <row r="356" spans="1:7" x14ac:dyDescent="0.3">
      <c r="A356" t="s">
        <v>390</v>
      </c>
      <c r="B356" t="s">
        <v>28</v>
      </c>
      <c r="C356" t="s">
        <v>15</v>
      </c>
      <c r="D356">
        <v>107</v>
      </c>
      <c r="E356">
        <v>26</v>
      </c>
      <c r="F356" t="s">
        <v>22</v>
      </c>
      <c r="G356" s="9">
        <v>3500</v>
      </c>
    </row>
    <row r="357" spans="1:7" x14ac:dyDescent="0.3">
      <c r="A357" t="s">
        <v>391</v>
      </c>
      <c r="B357" t="s">
        <v>71</v>
      </c>
      <c r="C357" t="s">
        <v>9</v>
      </c>
      <c r="D357">
        <v>85</v>
      </c>
      <c r="E357">
        <v>21</v>
      </c>
      <c r="F357" t="s">
        <v>16</v>
      </c>
      <c r="G357" s="9">
        <v>9000</v>
      </c>
    </row>
    <row r="358" spans="1:7" x14ac:dyDescent="0.3">
      <c r="A358" t="s">
        <v>392</v>
      </c>
      <c r="B358" t="s">
        <v>53</v>
      </c>
      <c r="C358" t="s">
        <v>26</v>
      </c>
      <c r="D358">
        <v>34</v>
      </c>
      <c r="E358">
        <v>12</v>
      </c>
      <c r="F358" t="s">
        <v>19</v>
      </c>
      <c r="G358" s="9">
        <v>4500</v>
      </c>
    </row>
    <row r="359" spans="1:7" x14ac:dyDescent="0.3">
      <c r="A359" t="s">
        <v>393</v>
      </c>
      <c r="B359" t="s">
        <v>45</v>
      </c>
      <c r="C359" t="s">
        <v>33</v>
      </c>
      <c r="D359">
        <v>43</v>
      </c>
      <c r="E359">
        <v>11</v>
      </c>
      <c r="F359" t="s">
        <v>29</v>
      </c>
      <c r="G359" s="9">
        <v>12000</v>
      </c>
    </row>
    <row r="360" spans="1:7" x14ac:dyDescent="0.3">
      <c r="A360" t="s">
        <v>394</v>
      </c>
      <c r="B360" t="s">
        <v>43</v>
      </c>
      <c r="C360" t="s">
        <v>15</v>
      </c>
      <c r="D360">
        <v>52</v>
      </c>
      <c r="E360">
        <v>34</v>
      </c>
      <c r="F360" t="s">
        <v>29</v>
      </c>
      <c r="G360" s="9">
        <v>2000</v>
      </c>
    </row>
    <row r="361" spans="1:7" x14ac:dyDescent="0.3">
      <c r="A361" t="s">
        <v>395</v>
      </c>
      <c r="B361" t="s">
        <v>58</v>
      </c>
      <c r="C361" t="s">
        <v>33</v>
      </c>
      <c r="D361">
        <v>15</v>
      </c>
      <c r="E361">
        <v>15</v>
      </c>
      <c r="F361" t="s">
        <v>16</v>
      </c>
      <c r="G361" s="9">
        <v>1000</v>
      </c>
    </row>
    <row r="362" spans="1:7" x14ac:dyDescent="0.3">
      <c r="A362" t="s">
        <v>396</v>
      </c>
      <c r="B362" t="s">
        <v>25</v>
      </c>
      <c r="C362" t="s">
        <v>9</v>
      </c>
      <c r="D362">
        <v>100</v>
      </c>
      <c r="E362">
        <v>20</v>
      </c>
      <c r="F362" t="s">
        <v>19</v>
      </c>
      <c r="G362" s="9">
        <v>18000</v>
      </c>
    </row>
    <row r="363" spans="1:7" x14ac:dyDescent="0.3">
      <c r="A363" t="s">
        <v>397</v>
      </c>
      <c r="B363" t="s">
        <v>31</v>
      </c>
      <c r="C363" t="s">
        <v>9</v>
      </c>
      <c r="D363">
        <v>26</v>
      </c>
      <c r="E363">
        <v>34</v>
      </c>
      <c r="F363" t="s">
        <v>16</v>
      </c>
      <c r="G363" s="9">
        <v>3000</v>
      </c>
    </row>
    <row r="364" spans="1:7" x14ac:dyDescent="0.3">
      <c r="A364" t="s">
        <v>398</v>
      </c>
      <c r="B364" t="s">
        <v>45</v>
      </c>
      <c r="C364" t="s">
        <v>9</v>
      </c>
      <c r="D364">
        <v>73</v>
      </c>
      <c r="E364">
        <v>24</v>
      </c>
      <c r="F364" t="s">
        <v>16</v>
      </c>
      <c r="G364" s="9">
        <v>12000</v>
      </c>
    </row>
    <row r="365" spans="1:7" x14ac:dyDescent="0.3">
      <c r="A365" t="s">
        <v>399</v>
      </c>
      <c r="B365" t="s">
        <v>71</v>
      </c>
      <c r="C365" t="s">
        <v>33</v>
      </c>
      <c r="D365">
        <v>39</v>
      </c>
      <c r="E365">
        <v>32</v>
      </c>
      <c r="F365" t="s">
        <v>29</v>
      </c>
      <c r="G365" s="9">
        <v>9000</v>
      </c>
    </row>
    <row r="366" spans="1:7" x14ac:dyDescent="0.3">
      <c r="A366" t="s">
        <v>400</v>
      </c>
      <c r="B366" t="s">
        <v>48</v>
      </c>
      <c r="C366" t="s">
        <v>15</v>
      </c>
      <c r="D366">
        <v>63</v>
      </c>
      <c r="E366">
        <v>18</v>
      </c>
      <c r="F366" t="s">
        <v>19</v>
      </c>
      <c r="G366" s="9">
        <v>10000</v>
      </c>
    </row>
    <row r="367" spans="1:7" x14ac:dyDescent="0.3">
      <c r="A367" t="s">
        <v>401</v>
      </c>
      <c r="B367" t="s">
        <v>58</v>
      </c>
      <c r="C367" t="s">
        <v>26</v>
      </c>
      <c r="D367">
        <v>12</v>
      </c>
      <c r="E367">
        <v>23</v>
      </c>
      <c r="F367" t="s">
        <v>16</v>
      </c>
      <c r="G367" s="9">
        <v>1000</v>
      </c>
    </row>
    <row r="368" spans="1:7" x14ac:dyDescent="0.3">
      <c r="A368" t="s">
        <v>402</v>
      </c>
      <c r="B368" t="s">
        <v>48</v>
      </c>
      <c r="C368" t="s">
        <v>33</v>
      </c>
      <c r="D368">
        <v>18</v>
      </c>
      <c r="E368">
        <v>12</v>
      </c>
      <c r="F368" t="s">
        <v>29</v>
      </c>
      <c r="G368" s="9">
        <v>10000</v>
      </c>
    </row>
    <row r="369" spans="1:7" x14ac:dyDescent="0.3">
      <c r="A369" t="s">
        <v>403</v>
      </c>
      <c r="B369" t="s">
        <v>65</v>
      </c>
      <c r="C369" t="s">
        <v>15</v>
      </c>
      <c r="D369">
        <v>101</v>
      </c>
      <c r="E369">
        <v>15</v>
      </c>
      <c r="F369" t="s">
        <v>22</v>
      </c>
      <c r="G369" s="9">
        <v>5500</v>
      </c>
    </row>
    <row r="370" spans="1:7" x14ac:dyDescent="0.3">
      <c r="A370" t="s">
        <v>404</v>
      </c>
      <c r="B370" t="s">
        <v>12</v>
      </c>
      <c r="C370" t="s">
        <v>33</v>
      </c>
      <c r="D370">
        <v>37</v>
      </c>
      <c r="E370">
        <v>29</v>
      </c>
      <c r="F370" t="s">
        <v>29</v>
      </c>
      <c r="G370" s="9">
        <v>2000</v>
      </c>
    </row>
    <row r="371" spans="1:7" x14ac:dyDescent="0.3">
      <c r="A371" t="s">
        <v>405</v>
      </c>
      <c r="B371" t="s">
        <v>53</v>
      </c>
      <c r="C371" t="s">
        <v>26</v>
      </c>
      <c r="D371">
        <v>12</v>
      </c>
      <c r="E371">
        <v>33</v>
      </c>
      <c r="F371" t="s">
        <v>16</v>
      </c>
      <c r="G371" s="9">
        <v>4500</v>
      </c>
    </row>
    <row r="372" spans="1:7" x14ac:dyDescent="0.3">
      <c r="A372" t="s">
        <v>406</v>
      </c>
      <c r="B372" t="s">
        <v>65</v>
      </c>
      <c r="C372" t="s">
        <v>15</v>
      </c>
      <c r="D372">
        <v>91</v>
      </c>
      <c r="E372">
        <v>6</v>
      </c>
      <c r="F372" t="s">
        <v>16</v>
      </c>
      <c r="G372" s="9">
        <v>5500</v>
      </c>
    </row>
    <row r="373" spans="1:7" x14ac:dyDescent="0.3">
      <c r="A373" t="s">
        <v>407</v>
      </c>
      <c r="B373" t="s">
        <v>31</v>
      </c>
      <c r="C373" t="s">
        <v>9</v>
      </c>
      <c r="D373">
        <v>80</v>
      </c>
      <c r="E373">
        <v>19</v>
      </c>
      <c r="F373" t="s">
        <v>16</v>
      </c>
      <c r="G373" s="9">
        <v>3000</v>
      </c>
    </row>
    <row r="374" spans="1:7" x14ac:dyDescent="0.3">
      <c r="A374" t="s">
        <v>408</v>
      </c>
      <c r="B374" t="s">
        <v>25</v>
      </c>
      <c r="C374" t="s">
        <v>26</v>
      </c>
      <c r="D374">
        <v>33</v>
      </c>
      <c r="E374">
        <v>19</v>
      </c>
      <c r="F374" t="s">
        <v>16</v>
      </c>
      <c r="G374" s="9">
        <v>18000</v>
      </c>
    </row>
    <row r="375" spans="1:7" x14ac:dyDescent="0.3">
      <c r="A375" t="s">
        <v>409</v>
      </c>
      <c r="B375" t="s">
        <v>8</v>
      </c>
      <c r="C375" t="s">
        <v>15</v>
      </c>
      <c r="D375">
        <v>59</v>
      </c>
      <c r="E375">
        <v>28</v>
      </c>
      <c r="F375" t="s">
        <v>19</v>
      </c>
      <c r="G375" s="9">
        <v>1800</v>
      </c>
    </row>
    <row r="376" spans="1:7" x14ac:dyDescent="0.3">
      <c r="A376" t="s">
        <v>410</v>
      </c>
      <c r="B376" t="s">
        <v>53</v>
      </c>
      <c r="C376" t="s">
        <v>15</v>
      </c>
      <c r="D376">
        <v>88</v>
      </c>
      <c r="E376">
        <v>8</v>
      </c>
      <c r="F376" t="s">
        <v>29</v>
      </c>
      <c r="G376" s="9">
        <v>4500</v>
      </c>
    </row>
    <row r="377" spans="1:7" x14ac:dyDescent="0.3">
      <c r="A377" t="s">
        <v>411</v>
      </c>
      <c r="B377" t="s">
        <v>38</v>
      </c>
      <c r="C377" t="s">
        <v>26</v>
      </c>
      <c r="D377">
        <v>24</v>
      </c>
      <c r="E377">
        <v>29</v>
      </c>
      <c r="F377" t="s">
        <v>10</v>
      </c>
      <c r="G377" s="9">
        <v>1500</v>
      </c>
    </row>
    <row r="378" spans="1:7" x14ac:dyDescent="0.3">
      <c r="A378" t="s">
        <v>412</v>
      </c>
      <c r="B378" t="s">
        <v>63</v>
      </c>
      <c r="C378" t="s">
        <v>15</v>
      </c>
      <c r="D378">
        <v>41</v>
      </c>
      <c r="E378">
        <v>9</v>
      </c>
      <c r="F378" t="s">
        <v>16</v>
      </c>
      <c r="G378" s="9">
        <v>800</v>
      </c>
    </row>
    <row r="379" spans="1:7" x14ac:dyDescent="0.3">
      <c r="A379" t="s">
        <v>413</v>
      </c>
      <c r="B379" t="s">
        <v>8</v>
      </c>
      <c r="C379" t="s">
        <v>9</v>
      </c>
      <c r="D379">
        <v>95</v>
      </c>
      <c r="E379">
        <v>5</v>
      </c>
      <c r="F379" t="s">
        <v>10</v>
      </c>
      <c r="G379" s="9">
        <v>1800</v>
      </c>
    </row>
    <row r="380" spans="1:7" x14ac:dyDescent="0.3">
      <c r="A380" t="s">
        <v>414</v>
      </c>
      <c r="B380" t="s">
        <v>21</v>
      </c>
      <c r="C380" t="s">
        <v>26</v>
      </c>
      <c r="D380">
        <v>43</v>
      </c>
      <c r="E380">
        <v>13</v>
      </c>
      <c r="F380" t="s">
        <v>22</v>
      </c>
      <c r="G380" s="9">
        <v>2500</v>
      </c>
    </row>
    <row r="381" spans="1:7" x14ac:dyDescent="0.3">
      <c r="A381" t="s">
        <v>415</v>
      </c>
      <c r="B381" t="s">
        <v>40</v>
      </c>
      <c r="C381" t="s">
        <v>9</v>
      </c>
      <c r="D381">
        <v>16</v>
      </c>
      <c r="E381">
        <v>34</v>
      </c>
      <c r="F381" t="s">
        <v>10</v>
      </c>
      <c r="G381" s="9">
        <v>17500</v>
      </c>
    </row>
    <row r="382" spans="1:7" x14ac:dyDescent="0.3">
      <c r="A382" t="s">
        <v>416</v>
      </c>
      <c r="B382" t="s">
        <v>43</v>
      </c>
      <c r="C382" t="s">
        <v>26</v>
      </c>
      <c r="D382">
        <v>42</v>
      </c>
      <c r="E382">
        <v>29</v>
      </c>
      <c r="F382" t="s">
        <v>10</v>
      </c>
      <c r="G382" s="9">
        <v>2000</v>
      </c>
    </row>
    <row r="383" spans="1:7" x14ac:dyDescent="0.3">
      <c r="A383" t="s">
        <v>417</v>
      </c>
      <c r="B383" t="s">
        <v>152</v>
      </c>
      <c r="C383" t="s">
        <v>26</v>
      </c>
      <c r="D383">
        <v>86</v>
      </c>
      <c r="E383">
        <v>24</v>
      </c>
      <c r="F383" t="s">
        <v>29</v>
      </c>
      <c r="G383" s="9">
        <v>1400</v>
      </c>
    </row>
    <row r="384" spans="1:7" x14ac:dyDescent="0.3">
      <c r="A384" t="s">
        <v>418</v>
      </c>
      <c r="B384" t="s">
        <v>43</v>
      </c>
      <c r="C384" t="s">
        <v>26</v>
      </c>
      <c r="D384">
        <v>49</v>
      </c>
      <c r="E384">
        <v>14</v>
      </c>
      <c r="F384" t="s">
        <v>19</v>
      </c>
      <c r="G384" s="9">
        <v>2000</v>
      </c>
    </row>
    <row r="385" spans="1:7" x14ac:dyDescent="0.3">
      <c r="A385" t="s">
        <v>419</v>
      </c>
      <c r="B385" t="s">
        <v>38</v>
      </c>
      <c r="C385" t="s">
        <v>26</v>
      </c>
      <c r="D385">
        <v>49</v>
      </c>
      <c r="E385">
        <v>34</v>
      </c>
      <c r="F385" t="s">
        <v>29</v>
      </c>
      <c r="G385" s="9">
        <v>1500</v>
      </c>
    </row>
    <row r="386" spans="1:7" x14ac:dyDescent="0.3">
      <c r="A386" t="s">
        <v>420</v>
      </c>
      <c r="B386" t="s">
        <v>53</v>
      </c>
      <c r="C386" t="s">
        <v>33</v>
      </c>
      <c r="D386">
        <v>104</v>
      </c>
      <c r="E386">
        <v>19</v>
      </c>
      <c r="F386" t="s">
        <v>29</v>
      </c>
      <c r="G386" s="9">
        <v>4500</v>
      </c>
    </row>
    <row r="387" spans="1:7" x14ac:dyDescent="0.3">
      <c r="A387" t="s">
        <v>421</v>
      </c>
      <c r="B387" t="s">
        <v>58</v>
      </c>
      <c r="C387" t="s">
        <v>9</v>
      </c>
      <c r="D387">
        <v>99</v>
      </c>
      <c r="E387">
        <v>30</v>
      </c>
      <c r="F387" t="s">
        <v>29</v>
      </c>
      <c r="G387" s="9">
        <v>1000</v>
      </c>
    </row>
    <row r="388" spans="1:7" x14ac:dyDescent="0.3">
      <c r="A388" t="s">
        <v>422</v>
      </c>
      <c r="B388" t="s">
        <v>45</v>
      </c>
      <c r="C388" t="s">
        <v>26</v>
      </c>
      <c r="D388">
        <v>69</v>
      </c>
      <c r="E388">
        <v>9</v>
      </c>
      <c r="F388" t="s">
        <v>10</v>
      </c>
      <c r="G388" s="9">
        <v>12000</v>
      </c>
    </row>
    <row r="389" spans="1:7" x14ac:dyDescent="0.3">
      <c r="A389" t="s">
        <v>423</v>
      </c>
      <c r="B389" t="s">
        <v>28</v>
      </c>
      <c r="C389" t="s">
        <v>33</v>
      </c>
      <c r="D389">
        <v>83</v>
      </c>
      <c r="E389">
        <v>20</v>
      </c>
      <c r="F389" t="s">
        <v>22</v>
      </c>
      <c r="G389" s="9">
        <v>3500</v>
      </c>
    </row>
    <row r="390" spans="1:7" x14ac:dyDescent="0.3">
      <c r="A390" t="s">
        <v>424</v>
      </c>
      <c r="B390" t="s">
        <v>152</v>
      </c>
      <c r="C390" t="s">
        <v>9</v>
      </c>
      <c r="D390">
        <v>22</v>
      </c>
      <c r="E390">
        <v>24</v>
      </c>
      <c r="F390" t="s">
        <v>19</v>
      </c>
      <c r="G390" s="9">
        <v>1400</v>
      </c>
    </row>
    <row r="391" spans="1:7" x14ac:dyDescent="0.3">
      <c r="A391" t="s">
        <v>425</v>
      </c>
      <c r="B391" t="s">
        <v>71</v>
      </c>
      <c r="C391" t="s">
        <v>33</v>
      </c>
      <c r="D391">
        <v>104</v>
      </c>
      <c r="E391">
        <v>15</v>
      </c>
      <c r="F391" t="s">
        <v>16</v>
      </c>
      <c r="G391" s="9">
        <v>9000</v>
      </c>
    </row>
    <row r="392" spans="1:7" x14ac:dyDescent="0.3">
      <c r="A392" t="s">
        <v>426</v>
      </c>
      <c r="B392" t="s">
        <v>63</v>
      </c>
      <c r="C392" t="s">
        <v>26</v>
      </c>
      <c r="D392">
        <v>29</v>
      </c>
      <c r="E392">
        <v>14</v>
      </c>
      <c r="F392" t="s">
        <v>22</v>
      </c>
      <c r="G392" s="9">
        <v>800</v>
      </c>
    </row>
    <row r="393" spans="1:7" x14ac:dyDescent="0.3">
      <c r="A393" t="s">
        <v>427</v>
      </c>
      <c r="B393" t="s">
        <v>18</v>
      </c>
      <c r="C393" t="s">
        <v>15</v>
      </c>
      <c r="D393">
        <v>48</v>
      </c>
      <c r="E393">
        <v>28</v>
      </c>
      <c r="F393" t="s">
        <v>10</v>
      </c>
      <c r="G393" s="9">
        <v>11500</v>
      </c>
    </row>
    <row r="394" spans="1:7" x14ac:dyDescent="0.3">
      <c r="A394" t="s">
        <v>428</v>
      </c>
      <c r="B394" t="s">
        <v>45</v>
      </c>
      <c r="C394" t="s">
        <v>26</v>
      </c>
      <c r="D394">
        <v>19</v>
      </c>
      <c r="E394">
        <v>17</v>
      </c>
      <c r="F394" t="s">
        <v>22</v>
      </c>
      <c r="G394" s="9">
        <v>12000</v>
      </c>
    </row>
    <row r="395" spans="1:7" x14ac:dyDescent="0.3">
      <c r="A395" t="s">
        <v>429</v>
      </c>
      <c r="B395" t="s">
        <v>14</v>
      </c>
      <c r="C395" t="s">
        <v>15</v>
      </c>
      <c r="D395">
        <v>30</v>
      </c>
      <c r="E395">
        <v>17</v>
      </c>
      <c r="F395" t="s">
        <v>29</v>
      </c>
      <c r="G395" s="9">
        <v>1500</v>
      </c>
    </row>
    <row r="396" spans="1:7" x14ac:dyDescent="0.3">
      <c r="A396" t="s">
        <v>430</v>
      </c>
      <c r="B396" t="s">
        <v>8</v>
      </c>
      <c r="C396" t="s">
        <v>9</v>
      </c>
      <c r="D396">
        <v>16</v>
      </c>
      <c r="E396">
        <v>11</v>
      </c>
      <c r="F396" t="s">
        <v>16</v>
      </c>
      <c r="G396" s="9">
        <v>1800</v>
      </c>
    </row>
    <row r="397" spans="1:7" x14ac:dyDescent="0.3">
      <c r="A397" t="s">
        <v>431</v>
      </c>
      <c r="B397" t="s">
        <v>63</v>
      </c>
      <c r="C397" t="s">
        <v>33</v>
      </c>
      <c r="D397">
        <v>21</v>
      </c>
      <c r="E397">
        <v>28</v>
      </c>
      <c r="F397" t="s">
        <v>29</v>
      </c>
      <c r="G397" s="9">
        <v>800</v>
      </c>
    </row>
    <row r="398" spans="1:7" x14ac:dyDescent="0.3">
      <c r="A398" t="s">
        <v>432</v>
      </c>
      <c r="B398" t="s">
        <v>38</v>
      </c>
      <c r="C398" t="s">
        <v>33</v>
      </c>
      <c r="D398">
        <v>19</v>
      </c>
      <c r="E398">
        <v>18</v>
      </c>
      <c r="F398" t="s">
        <v>19</v>
      </c>
      <c r="G398" s="9">
        <v>1500</v>
      </c>
    </row>
    <row r="399" spans="1:7" x14ac:dyDescent="0.3">
      <c r="A399" t="s">
        <v>433</v>
      </c>
      <c r="B399" t="s">
        <v>58</v>
      </c>
      <c r="C399" t="s">
        <v>26</v>
      </c>
      <c r="D399">
        <v>57</v>
      </c>
      <c r="E399">
        <v>16</v>
      </c>
      <c r="F399" t="s">
        <v>16</v>
      </c>
      <c r="G399" s="9">
        <v>1000</v>
      </c>
    </row>
    <row r="400" spans="1:7" x14ac:dyDescent="0.3">
      <c r="A400" t="s">
        <v>434</v>
      </c>
      <c r="B400" t="s">
        <v>25</v>
      </c>
      <c r="C400" t="s">
        <v>26</v>
      </c>
      <c r="D400">
        <v>28</v>
      </c>
      <c r="E400">
        <v>16</v>
      </c>
      <c r="F400" t="s">
        <v>10</v>
      </c>
      <c r="G400" s="9">
        <v>18000</v>
      </c>
    </row>
    <row r="401" spans="1:7" x14ac:dyDescent="0.3">
      <c r="A401" t="s">
        <v>435</v>
      </c>
      <c r="B401" t="s">
        <v>14</v>
      </c>
      <c r="C401" t="s">
        <v>9</v>
      </c>
      <c r="D401">
        <v>82</v>
      </c>
      <c r="E401">
        <v>12</v>
      </c>
      <c r="F401" t="s">
        <v>10</v>
      </c>
      <c r="G401" s="9">
        <v>1500</v>
      </c>
    </row>
    <row r="402" spans="1:7" x14ac:dyDescent="0.3">
      <c r="A402" t="s">
        <v>436</v>
      </c>
      <c r="B402" t="s">
        <v>28</v>
      </c>
      <c r="C402" t="s">
        <v>33</v>
      </c>
      <c r="D402">
        <v>42</v>
      </c>
      <c r="E402">
        <v>19</v>
      </c>
      <c r="F402" t="s">
        <v>22</v>
      </c>
      <c r="G402" s="9">
        <v>3500</v>
      </c>
    </row>
    <row r="403" spans="1:7" x14ac:dyDescent="0.3">
      <c r="A403" t="s">
        <v>437</v>
      </c>
      <c r="B403" t="s">
        <v>48</v>
      </c>
      <c r="C403" t="s">
        <v>33</v>
      </c>
      <c r="D403">
        <v>40</v>
      </c>
      <c r="E403">
        <v>31</v>
      </c>
      <c r="F403" t="s">
        <v>10</v>
      </c>
      <c r="G403" s="9">
        <v>10000</v>
      </c>
    </row>
    <row r="404" spans="1:7" x14ac:dyDescent="0.3">
      <c r="A404" t="s">
        <v>438</v>
      </c>
      <c r="B404" t="s">
        <v>43</v>
      </c>
      <c r="C404" t="s">
        <v>15</v>
      </c>
      <c r="D404">
        <v>69</v>
      </c>
      <c r="E404">
        <v>11</v>
      </c>
      <c r="F404" t="s">
        <v>16</v>
      </c>
      <c r="G404" s="9">
        <v>2000</v>
      </c>
    </row>
    <row r="405" spans="1:7" x14ac:dyDescent="0.3">
      <c r="A405" t="s">
        <v>439</v>
      </c>
      <c r="B405" t="s">
        <v>152</v>
      </c>
      <c r="C405" t="s">
        <v>9</v>
      </c>
      <c r="D405">
        <v>57</v>
      </c>
      <c r="E405">
        <v>25</v>
      </c>
      <c r="F405" t="s">
        <v>29</v>
      </c>
      <c r="G405" s="9">
        <v>1400</v>
      </c>
    </row>
    <row r="406" spans="1:7" x14ac:dyDescent="0.3">
      <c r="A406" t="s">
        <v>440</v>
      </c>
      <c r="B406" t="s">
        <v>28</v>
      </c>
      <c r="C406" t="s">
        <v>9</v>
      </c>
      <c r="D406">
        <v>32</v>
      </c>
      <c r="E406">
        <v>24</v>
      </c>
      <c r="F406" t="s">
        <v>22</v>
      </c>
      <c r="G406" s="9">
        <v>3500</v>
      </c>
    </row>
    <row r="407" spans="1:7" x14ac:dyDescent="0.3">
      <c r="A407" t="s">
        <v>441</v>
      </c>
      <c r="B407" t="s">
        <v>25</v>
      </c>
      <c r="C407" t="s">
        <v>33</v>
      </c>
      <c r="D407">
        <v>59</v>
      </c>
      <c r="E407">
        <v>26</v>
      </c>
      <c r="F407" t="s">
        <v>22</v>
      </c>
      <c r="G407" s="9">
        <v>18000</v>
      </c>
    </row>
    <row r="408" spans="1:7" x14ac:dyDescent="0.3">
      <c r="A408" t="s">
        <v>442</v>
      </c>
      <c r="B408" t="s">
        <v>48</v>
      </c>
      <c r="C408" t="s">
        <v>26</v>
      </c>
      <c r="D408">
        <v>31</v>
      </c>
      <c r="E408">
        <v>15</v>
      </c>
      <c r="F408" t="s">
        <v>16</v>
      </c>
      <c r="G408" s="9">
        <v>10000</v>
      </c>
    </row>
    <row r="409" spans="1:7" x14ac:dyDescent="0.3">
      <c r="A409" t="s">
        <v>443</v>
      </c>
      <c r="B409" t="s">
        <v>31</v>
      </c>
      <c r="C409" t="s">
        <v>15</v>
      </c>
      <c r="D409">
        <v>56</v>
      </c>
      <c r="E409">
        <v>20</v>
      </c>
      <c r="F409" t="s">
        <v>10</v>
      </c>
      <c r="G409" s="9">
        <v>3000</v>
      </c>
    </row>
    <row r="410" spans="1:7" x14ac:dyDescent="0.3">
      <c r="A410" t="s">
        <v>444</v>
      </c>
      <c r="B410" t="s">
        <v>18</v>
      </c>
      <c r="C410" t="s">
        <v>9</v>
      </c>
      <c r="D410">
        <v>43</v>
      </c>
      <c r="E410">
        <v>32</v>
      </c>
      <c r="F410" t="s">
        <v>29</v>
      </c>
      <c r="G410" s="9">
        <v>11500</v>
      </c>
    </row>
    <row r="411" spans="1:7" x14ac:dyDescent="0.3">
      <c r="A411" t="s">
        <v>445</v>
      </c>
      <c r="B411" t="s">
        <v>40</v>
      </c>
      <c r="C411" t="s">
        <v>33</v>
      </c>
      <c r="D411">
        <v>34</v>
      </c>
      <c r="E411">
        <v>32</v>
      </c>
      <c r="F411" t="s">
        <v>29</v>
      </c>
      <c r="G411" s="9">
        <v>17500</v>
      </c>
    </row>
    <row r="412" spans="1:7" x14ac:dyDescent="0.3">
      <c r="A412" t="s">
        <v>446</v>
      </c>
      <c r="B412" t="s">
        <v>12</v>
      </c>
      <c r="C412" t="s">
        <v>26</v>
      </c>
      <c r="D412">
        <v>39</v>
      </c>
      <c r="E412">
        <v>10</v>
      </c>
      <c r="F412" t="s">
        <v>22</v>
      </c>
      <c r="G412" s="9">
        <v>2000</v>
      </c>
    </row>
    <row r="413" spans="1:7" x14ac:dyDescent="0.3">
      <c r="A413" t="s">
        <v>447</v>
      </c>
      <c r="B413" t="s">
        <v>40</v>
      </c>
      <c r="C413" t="s">
        <v>9</v>
      </c>
      <c r="D413">
        <v>82</v>
      </c>
      <c r="E413">
        <v>20</v>
      </c>
      <c r="F413" t="s">
        <v>19</v>
      </c>
      <c r="G413" s="9">
        <v>17500</v>
      </c>
    </row>
    <row r="414" spans="1:7" x14ac:dyDescent="0.3">
      <c r="A414" t="s">
        <v>448</v>
      </c>
      <c r="B414" t="s">
        <v>31</v>
      </c>
      <c r="C414" t="s">
        <v>9</v>
      </c>
      <c r="D414">
        <v>14</v>
      </c>
      <c r="E414">
        <v>26</v>
      </c>
      <c r="F414" t="s">
        <v>10</v>
      </c>
      <c r="G414" s="9">
        <v>3000</v>
      </c>
    </row>
    <row r="415" spans="1:7" x14ac:dyDescent="0.3">
      <c r="A415" t="s">
        <v>449</v>
      </c>
      <c r="B415" t="s">
        <v>45</v>
      </c>
      <c r="C415" t="s">
        <v>15</v>
      </c>
      <c r="D415">
        <v>15</v>
      </c>
      <c r="E415">
        <v>32</v>
      </c>
      <c r="F415" t="s">
        <v>10</v>
      </c>
      <c r="G415" s="9">
        <v>12000</v>
      </c>
    </row>
    <row r="416" spans="1:7" x14ac:dyDescent="0.3">
      <c r="A416" t="s">
        <v>450</v>
      </c>
      <c r="B416" t="s">
        <v>45</v>
      </c>
      <c r="C416" t="s">
        <v>15</v>
      </c>
      <c r="D416">
        <v>70</v>
      </c>
      <c r="E416">
        <v>12</v>
      </c>
      <c r="F416" t="s">
        <v>16</v>
      </c>
      <c r="G416" s="9">
        <v>12000</v>
      </c>
    </row>
    <row r="417" spans="1:7" x14ac:dyDescent="0.3">
      <c r="A417" t="s">
        <v>451</v>
      </c>
      <c r="B417" t="s">
        <v>61</v>
      </c>
      <c r="C417" t="s">
        <v>26</v>
      </c>
      <c r="D417">
        <v>10</v>
      </c>
      <c r="E417">
        <v>7</v>
      </c>
      <c r="F417" t="s">
        <v>19</v>
      </c>
      <c r="G417" s="9">
        <v>1200</v>
      </c>
    </row>
    <row r="418" spans="1:7" x14ac:dyDescent="0.3">
      <c r="A418" t="s">
        <v>452</v>
      </c>
      <c r="B418" t="s">
        <v>28</v>
      </c>
      <c r="C418" t="s">
        <v>9</v>
      </c>
      <c r="D418">
        <v>32</v>
      </c>
      <c r="E418">
        <v>16</v>
      </c>
      <c r="F418" t="s">
        <v>19</v>
      </c>
      <c r="G418" s="9">
        <v>3500</v>
      </c>
    </row>
    <row r="419" spans="1:7" x14ac:dyDescent="0.3">
      <c r="A419" t="s">
        <v>453</v>
      </c>
      <c r="B419" t="s">
        <v>38</v>
      </c>
      <c r="C419" t="s">
        <v>33</v>
      </c>
      <c r="D419">
        <v>15</v>
      </c>
      <c r="E419">
        <v>33</v>
      </c>
      <c r="F419" t="s">
        <v>29</v>
      </c>
      <c r="G419" s="9">
        <v>1500</v>
      </c>
    </row>
    <row r="420" spans="1:7" x14ac:dyDescent="0.3">
      <c r="A420" t="s">
        <v>454</v>
      </c>
      <c r="B420" t="s">
        <v>53</v>
      </c>
      <c r="C420" t="s">
        <v>26</v>
      </c>
      <c r="D420">
        <v>37</v>
      </c>
      <c r="E420">
        <v>19</v>
      </c>
      <c r="F420" t="s">
        <v>29</v>
      </c>
      <c r="G420" s="9">
        <v>4500</v>
      </c>
    </row>
    <row r="421" spans="1:7" x14ac:dyDescent="0.3">
      <c r="A421" t="s">
        <v>455</v>
      </c>
      <c r="B421" t="s">
        <v>48</v>
      </c>
      <c r="C421" t="s">
        <v>33</v>
      </c>
      <c r="D421">
        <v>26</v>
      </c>
      <c r="E421">
        <v>14</v>
      </c>
      <c r="F421" t="s">
        <v>10</v>
      </c>
      <c r="G421" s="9">
        <v>10000</v>
      </c>
    </row>
    <row r="422" spans="1:7" x14ac:dyDescent="0.3">
      <c r="A422" t="s">
        <v>456</v>
      </c>
      <c r="B422" t="s">
        <v>21</v>
      </c>
      <c r="C422" t="s">
        <v>15</v>
      </c>
      <c r="D422">
        <v>81</v>
      </c>
      <c r="E422">
        <v>22</v>
      </c>
      <c r="F422" t="s">
        <v>19</v>
      </c>
      <c r="G422" s="9">
        <v>2500</v>
      </c>
    </row>
    <row r="423" spans="1:7" x14ac:dyDescent="0.3">
      <c r="A423" t="s">
        <v>457</v>
      </c>
      <c r="B423" t="s">
        <v>31</v>
      </c>
      <c r="C423" t="s">
        <v>15</v>
      </c>
      <c r="D423">
        <v>31</v>
      </c>
      <c r="E423">
        <v>26</v>
      </c>
      <c r="F423" t="s">
        <v>29</v>
      </c>
      <c r="G423" s="9">
        <v>3000</v>
      </c>
    </row>
    <row r="424" spans="1:7" x14ac:dyDescent="0.3">
      <c r="A424" t="s">
        <v>458</v>
      </c>
      <c r="B424" t="s">
        <v>12</v>
      </c>
      <c r="C424" t="s">
        <v>15</v>
      </c>
      <c r="D424">
        <v>23</v>
      </c>
      <c r="E424">
        <v>26</v>
      </c>
      <c r="F424" t="s">
        <v>19</v>
      </c>
      <c r="G424" s="9">
        <v>2000</v>
      </c>
    </row>
    <row r="425" spans="1:7" x14ac:dyDescent="0.3">
      <c r="A425" t="s">
        <v>459</v>
      </c>
      <c r="B425" t="s">
        <v>25</v>
      </c>
      <c r="C425" t="s">
        <v>15</v>
      </c>
      <c r="D425">
        <v>11</v>
      </c>
      <c r="E425">
        <v>17</v>
      </c>
      <c r="F425" t="s">
        <v>22</v>
      </c>
      <c r="G425" s="9">
        <v>18000</v>
      </c>
    </row>
    <row r="426" spans="1:7" x14ac:dyDescent="0.3">
      <c r="A426" t="s">
        <v>460</v>
      </c>
      <c r="B426" t="s">
        <v>65</v>
      </c>
      <c r="C426" t="s">
        <v>33</v>
      </c>
      <c r="D426">
        <v>91</v>
      </c>
      <c r="E426">
        <v>19</v>
      </c>
      <c r="F426" t="s">
        <v>29</v>
      </c>
      <c r="G426" s="9">
        <v>5500</v>
      </c>
    </row>
    <row r="427" spans="1:7" x14ac:dyDescent="0.3">
      <c r="A427" t="s">
        <v>461</v>
      </c>
      <c r="B427" t="s">
        <v>21</v>
      </c>
      <c r="C427" t="s">
        <v>26</v>
      </c>
      <c r="D427">
        <v>40</v>
      </c>
      <c r="E427">
        <v>34</v>
      </c>
      <c r="F427" t="s">
        <v>10</v>
      </c>
      <c r="G427" s="9">
        <v>2500</v>
      </c>
    </row>
    <row r="428" spans="1:7" x14ac:dyDescent="0.3">
      <c r="A428" t="s">
        <v>462</v>
      </c>
      <c r="B428" t="s">
        <v>18</v>
      </c>
      <c r="C428" t="s">
        <v>26</v>
      </c>
      <c r="D428">
        <v>49</v>
      </c>
      <c r="E428">
        <v>13</v>
      </c>
      <c r="F428" t="s">
        <v>16</v>
      </c>
      <c r="G428" s="9">
        <v>11500</v>
      </c>
    </row>
    <row r="429" spans="1:7" x14ac:dyDescent="0.3">
      <c r="A429" t="s">
        <v>463</v>
      </c>
      <c r="B429" t="s">
        <v>61</v>
      </c>
      <c r="C429" t="s">
        <v>33</v>
      </c>
      <c r="D429">
        <v>39</v>
      </c>
      <c r="E429">
        <v>8</v>
      </c>
      <c r="F429" t="s">
        <v>10</v>
      </c>
      <c r="G429" s="9">
        <v>1200</v>
      </c>
    </row>
    <row r="430" spans="1:7" x14ac:dyDescent="0.3">
      <c r="A430" t="s">
        <v>464</v>
      </c>
      <c r="B430" t="s">
        <v>61</v>
      </c>
      <c r="C430" t="s">
        <v>15</v>
      </c>
      <c r="D430">
        <v>83</v>
      </c>
      <c r="E430">
        <v>23</v>
      </c>
      <c r="F430" t="s">
        <v>16</v>
      </c>
      <c r="G430" s="9">
        <v>1200</v>
      </c>
    </row>
    <row r="431" spans="1:7" x14ac:dyDescent="0.3">
      <c r="A431" t="s">
        <v>465</v>
      </c>
      <c r="B431" t="s">
        <v>21</v>
      </c>
      <c r="C431" t="s">
        <v>9</v>
      </c>
      <c r="D431">
        <v>19</v>
      </c>
      <c r="E431">
        <v>30</v>
      </c>
      <c r="F431" t="s">
        <v>10</v>
      </c>
      <c r="G431" s="9">
        <v>2500</v>
      </c>
    </row>
    <row r="432" spans="1:7" x14ac:dyDescent="0.3">
      <c r="A432" t="s">
        <v>466</v>
      </c>
      <c r="B432" t="s">
        <v>25</v>
      </c>
      <c r="C432" t="s">
        <v>15</v>
      </c>
      <c r="D432">
        <v>41</v>
      </c>
      <c r="E432">
        <v>17</v>
      </c>
      <c r="F432" t="s">
        <v>19</v>
      </c>
      <c r="G432" s="9">
        <v>18000</v>
      </c>
    </row>
    <row r="433" spans="1:7" x14ac:dyDescent="0.3">
      <c r="A433" t="s">
        <v>467</v>
      </c>
      <c r="B433" t="s">
        <v>12</v>
      </c>
      <c r="C433" t="s">
        <v>15</v>
      </c>
      <c r="D433">
        <v>24</v>
      </c>
      <c r="E433">
        <v>13</v>
      </c>
      <c r="F433" t="s">
        <v>29</v>
      </c>
      <c r="G433" s="9">
        <v>2000</v>
      </c>
    </row>
    <row r="434" spans="1:7" x14ac:dyDescent="0.3">
      <c r="A434" t="s">
        <v>468</v>
      </c>
      <c r="B434" t="s">
        <v>45</v>
      </c>
      <c r="C434" t="s">
        <v>26</v>
      </c>
      <c r="D434">
        <v>89</v>
      </c>
      <c r="E434">
        <v>15</v>
      </c>
      <c r="F434" t="s">
        <v>10</v>
      </c>
      <c r="G434" s="9">
        <v>12000</v>
      </c>
    </row>
    <row r="435" spans="1:7" x14ac:dyDescent="0.3">
      <c r="A435" t="s">
        <v>469</v>
      </c>
      <c r="B435" t="s">
        <v>43</v>
      </c>
      <c r="C435" t="s">
        <v>9</v>
      </c>
      <c r="D435">
        <v>10</v>
      </c>
      <c r="E435">
        <v>13</v>
      </c>
      <c r="F435" t="s">
        <v>29</v>
      </c>
      <c r="G435" s="9">
        <v>2000</v>
      </c>
    </row>
    <row r="436" spans="1:7" x14ac:dyDescent="0.3">
      <c r="A436" t="s">
        <v>470</v>
      </c>
      <c r="B436" t="s">
        <v>61</v>
      </c>
      <c r="C436" t="s">
        <v>9</v>
      </c>
      <c r="D436">
        <v>60</v>
      </c>
      <c r="E436">
        <v>13</v>
      </c>
      <c r="F436" t="s">
        <v>19</v>
      </c>
      <c r="G436" s="9">
        <v>1200</v>
      </c>
    </row>
    <row r="437" spans="1:7" x14ac:dyDescent="0.3">
      <c r="A437" t="s">
        <v>471</v>
      </c>
      <c r="B437" t="s">
        <v>12</v>
      </c>
      <c r="C437" t="s">
        <v>26</v>
      </c>
      <c r="D437">
        <v>28</v>
      </c>
      <c r="E437">
        <v>27</v>
      </c>
      <c r="F437" t="s">
        <v>29</v>
      </c>
      <c r="G437" s="9">
        <v>2000</v>
      </c>
    </row>
    <row r="438" spans="1:7" x14ac:dyDescent="0.3">
      <c r="A438" t="s">
        <v>472</v>
      </c>
      <c r="B438" t="s">
        <v>40</v>
      </c>
      <c r="C438" t="s">
        <v>26</v>
      </c>
      <c r="D438">
        <v>42</v>
      </c>
      <c r="E438">
        <v>28</v>
      </c>
      <c r="F438" t="s">
        <v>29</v>
      </c>
      <c r="G438" s="9">
        <v>17500</v>
      </c>
    </row>
    <row r="439" spans="1:7" x14ac:dyDescent="0.3">
      <c r="A439" t="s">
        <v>473</v>
      </c>
      <c r="B439" t="s">
        <v>71</v>
      </c>
      <c r="C439" t="s">
        <v>9</v>
      </c>
      <c r="D439">
        <v>32</v>
      </c>
      <c r="E439">
        <v>29</v>
      </c>
      <c r="F439" t="s">
        <v>10</v>
      </c>
      <c r="G439" s="9">
        <v>9000</v>
      </c>
    </row>
    <row r="440" spans="1:7" x14ac:dyDescent="0.3">
      <c r="A440" t="s">
        <v>474</v>
      </c>
      <c r="B440" t="s">
        <v>31</v>
      </c>
      <c r="C440" t="s">
        <v>26</v>
      </c>
      <c r="D440">
        <v>74</v>
      </c>
      <c r="E440">
        <v>18</v>
      </c>
      <c r="F440" t="s">
        <v>22</v>
      </c>
      <c r="G440" s="9">
        <v>3000</v>
      </c>
    </row>
    <row r="441" spans="1:7" x14ac:dyDescent="0.3">
      <c r="A441" t="s">
        <v>475</v>
      </c>
      <c r="B441" t="s">
        <v>58</v>
      </c>
      <c r="C441" t="s">
        <v>33</v>
      </c>
      <c r="D441">
        <v>29</v>
      </c>
      <c r="E441">
        <v>8</v>
      </c>
      <c r="F441" t="s">
        <v>29</v>
      </c>
      <c r="G441" s="9">
        <v>1000</v>
      </c>
    </row>
    <row r="442" spans="1:7" x14ac:dyDescent="0.3">
      <c r="A442" t="s">
        <v>476</v>
      </c>
      <c r="B442" t="s">
        <v>18</v>
      </c>
      <c r="C442" t="s">
        <v>9</v>
      </c>
      <c r="D442">
        <v>58</v>
      </c>
      <c r="E442">
        <v>22</v>
      </c>
      <c r="F442" t="s">
        <v>10</v>
      </c>
      <c r="G442" s="9">
        <v>11500</v>
      </c>
    </row>
    <row r="443" spans="1:7" x14ac:dyDescent="0.3">
      <c r="A443" t="s">
        <v>477</v>
      </c>
      <c r="B443" t="s">
        <v>31</v>
      </c>
      <c r="C443" t="s">
        <v>9</v>
      </c>
      <c r="D443">
        <v>22</v>
      </c>
      <c r="E443">
        <v>18</v>
      </c>
      <c r="F443" t="s">
        <v>29</v>
      </c>
      <c r="G443" s="9">
        <v>3000</v>
      </c>
    </row>
    <row r="444" spans="1:7" x14ac:dyDescent="0.3">
      <c r="A444" t="s">
        <v>478</v>
      </c>
      <c r="B444" t="s">
        <v>63</v>
      </c>
      <c r="C444" t="s">
        <v>9</v>
      </c>
      <c r="D444">
        <v>56</v>
      </c>
      <c r="E444">
        <v>16</v>
      </c>
      <c r="F444" t="s">
        <v>10</v>
      </c>
      <c r="G444" s="9">
        <v>800</v>
      </c>
    </row>
    <row r="445" spans="1:7" x14ac:dyDescent="0.3">
      <c r="A445" t="s">
        <v>479</v>
      </c>
      <c r="B445" t="s">
        <v>65</v>
      </c>
      <c r="C445" t="s">
        <v>9</v>
      </c>
      <c r="D445">
        <v>50</v>
      </c>
      <c r="E445">
        <v>22</v>
      </c>
      <c r="F445" t="s">
        <v>10</v>
      </c>
      <c r="G445" s="9">
        <v>5500</v>
      </c>
    </row>
    <row r="446" spans="1:7" x14ac:dyDescent="0.3">
      <c r="A446" t="s">
        <v>480</v>
      </c>
      <c r="B446" t="s">
        <v>48</v>
      </c>
      <c r="C446" t="s">
        <v>33</v>
      </c>
      <c r="D446">
        <v>87</v>
      </c>
      <c r="E446">
        <v>17</v>
      </c>
      <c r="F446" t="s">
        <v>29</v>
      </c>
      <c r="G446" s="9">
        <v>10000</v>
      </c>
    </row>
    <row r="447" spans="1:7" x14ac:dyDescent="0.3">
      <c r="A447" t="s">
        <v>481</v>
      </c>
      <c r="B447" t="s">
        <v>21</v>
      </c>
      <c r="C447" t="s">
        <v>33</v>
      </c>
      <c r="D447">
        <v>65</v>
      </c>
      <c r="E447">
        <v>24</v>
      </c>
      <c r="F447" t="s">
        <v>29</v>
      </c>
      <c r="G447" s="9">
        <v>2500</v>
      </c>
    </row>
    <row r="448" spans="1:7" x14ac:dyDescent="0.3">
      <c r="A448" t="s">
        <v>482</v>
      </c>
      <c r="B448" t="s">
        <v>40</v>
      </c>
      <c r="C448" t="s">
        <v>33</v>
      </c>
      <c r="D448">
        <v>53</v>
      </c>
      <c r="E448">
        <v>16</v>
      </c>
      <c r="F448" t="s">
        <v>22</v>
      </c>
      <c r="G448" s="9">
        <v>17500</v>
      </c>
    </row>
    <row r="449" spans="1:7" x14ac:dyDescent="0.3">
      <c r="A449" t="s">
        <v>483</v>
      </c>
      <c r="B449" t="s">
        <v>38</v>
      </c>
      <c r="C449" t="s">
        <v>33</v>
      </c>
      <c r="D449">
        <v>45</v>
      </c>
      <c r="E449">
        <v>19</v>
      </c>
      <c r="F449" t="s">
        <v>22</v>
      </c>
      <c r="G449" s="9">
        <v>1500</v>
      </c>
    </row>
    <row r="450" spans="1:7" x14ac:dyDescent="0.3">
      <c r="A450" t="s">
        <v>484</v>
      </c>
      <c r="B450" t="s">
        <v>58</v>
      </c>
      <c r="C450" t="s">
        <v>26</v>
      </c>
      <c r="D450">
        <v>27</v>
      </c>
      <c r="E450">
        <v>15</v>
      </c>
      <c r="F450" t="s">
        <v>16</v>
      </c>
      <c r="G450" s="9">
        <v>1000</v>
      </c>
    </row>
    <row r="451" spans="1:7" x14ac:dyDescent="0.3">
      <c r="A451" t="s">
        <v>485</v>
      </c>
      <c r="B451" t="s">
        <v>43</v>
      </c>
      <c r="C451" t="s">
        <v>15</v>
      </c>
      <c r="D451">
        <v>97</v>
      </c>
      <c r="E451">
        <v>11</v>
      </c>
      <c r="F451" t="s">
        <v>29</v>
      </c>
      <c r="G451" s="9">
        <v>2000</v>
      </c>
    </row>
    <row r="452" spans="1:7" x14ac:dyDescent="0.3">
      <c r="A452" t="s">
        <v>486</v>
      </c>
      <c r="B452" t="s">
        <v>25</v>
      </c>
      <c r="C452" t="s">
        <v>15</v>
      </c>
      <c r="D452">
        <v>57</v>
      </c>
      <c r="E452">
        <v>6</v>
      </c>
      <c r="F452" t="s">
        <v>10</v>
      </c>
      <c r="G452" s="9">
        <v>18000</v>
      </c>
    </row>
    <row r="453" spans="1:7" x14ac:dyDescent="0.3">
      <c r="A453" t="s">
        <v>487</v>
      </c>
      <c r="B453" t="s">
        <v>31</v>
      </c>
      <c r="C453" t="s">
        <v>9</v>
      </c>
      <c r="D453">
        <v>18</v>
      </c>
      <c r="E453">
        <v>19</v>
      </c>
      <c r="F453" t="s">
        <v>10</v>
      </c>
      <c r="G453" s="9">
        <v>3000</v>
      </c>
    </row>
    <row r="454" spans="1:7" x14ac:dyDescent="0.3">
      <c r="A454" t="s">
        <v>488</v>
      </c>
      <c r="B454" t="s">
        <v>71</v>
      </c>
      <c r="C454" t="s">
        <v>15</v>
      </c>
      <c r="D454">
        <v>61</v>
      </c>
      <c r="E454">
        <v>8</v>
      </c>
      <c r="F454" t="s">
        <v>22</v>
      </c>
      <c r="G454" s="9">
        <v>9000</v>
      </c>
    </row>
    <row r="455" spans="1:7" x14ac:dyDescent="0.3">
      <c r="A455" t="s">
        <v>489</v>
      </c>
      <c r="B455" t="s">
        <v>21</v>
      </c>
      <c r="C455" t="s">
        <v>26</v>
      </c>
      <c r="D455">
        <v>55</v>
      </c>
      <c r="E455">
        <v>8</v>
      </c>
      <c r="F455" t="s">
        <v>16</v>
      </c>
      <c r="G455" s="9">
        <v>2500</v>
      </c>
    </row>
    <row r="456" spans="1:7" x14ac:dyDescent="0.3">
      <c r="A456" t="s">
        <v>490</v>
      </c>
      <c r="B456" t="s">
        <v>152</v>
      </c>
      <c r="C456" t="s">
        <v>26</v>
      </c>
      <c r="D456">
        <v>95</v>
      </c>
      <c r="E456">
        <v>19</v>
      </c>
      <c r="F456" t="s">
        <v>10</v>
      </c>
      <c r="G456" s="9">
        <v>1400</v>
      </c>
    </row>
    <row r="457" spans="1:7" x14ac:dyDescent="0.3">
      <c r="A457" t="s">
        <v>491</v>
      </c>
      <c r="B457" t="s">
        <v>48</v>
      </c>
      <c r="C457" t="s">
        <v>33</v>
      </c>
      <c r="D457">
        <v>74</v>
      </c>
      <c r="E457">
        <v>18</v>
      </c>
      <c r="F457" t="s">
        <v>19</v>
      </c>
      <c r="G457" s="9">
        <v>10000</v>
      </c>
    </row>
    <row r="458" spans="1:7" x14ac:dyDescent="0.3">
      <c r="A458" t="s">
        <v>492</v>
      </c>
      <c r="B458" t="s">
        <v>152</v>
      </c>
      <c r="C458" t="s">
        <v>26</v>
      </c>
      <c r="D458">
        <v>69</v>
      </c>
      <c r="E458">
        <v>17</v>
      </c>
      <c r="F458" t="s">
        <v>22</v>
      </c>
      <c r="G458" s="9">
        <v>1400</v>
      </c>
    </row>
    <row r="459" spans="1:7" x14ac:dyDescent="0.3">
      <c r="A459" t="s">
        <v>493</v>
      </c>
      <c r="B459" t="s">
        <v>53</v>
      </c>
      <c r="C459" t="s">
        <v>33</v>
      </c>
      <c r="D459">
        <v>29</v>
      </c>
      <c r="E459">
        <v>24</v>
      </c>
      <c r="F459" t="s">
        <v>16</v>
      </c>
      <c r="G459" s="9">
        <v>4500</v>
      </c>
    </row>
    <row r="460" spans="1:7" x14ac:dyDescent="0.3">
      <c r="A460" t="s">
        <v>494</v>
      </c>
      <c r="B460" t="s">
        <v>12</v>
      </c>
      <c r="C460" t="s">
        <v>9</v>
      </c>
      <c r="D460">
        <v>26</v>
      </c>
      <c r="E460">
        <v>10</v>
      </c>
      <c r="F460" t="s">
        <v>10</v>
      </c>
      <c r="G460" s="9">
        <v>2000</v>
      </c>
    </row>
    <row r="461" spans="1:7" x14ac:dyDescent="0.3">
      <c r="A461" t="s">
        <v>495</v>
      </c>
      <c r="B461" t="s">
        <v>61</v>
      </c>
      <c r="C461" t="s">
        <v>15</v>
      </c>
      <c r="D461">
        <v>43</v>
      </c>
      <c r="E461">
        <v>11</v>
      </c>
      <c r="F461" t="s">
        <v>19</v>
      </c>
      <c r="G461" s="9">
        <v>1200</v>
      </c>
    </row>
    <row r="462" spans="1:7" x14ac:dyDescent="0.3">
      <c r="A462" t="s">
        <v>496</v>
      </c>
      <c r="B462" t="s">
        <v>65</v>
      </c>
      <c r="C462" t="s">
        <v>33</v>
      </c>
      <c r="D462">
        <v>105</v>
      </c>
      <c r="E462">
        <v>15</v>
      </c>
      <c r="F462" t="s">
        <v>29</v>
      </c>
      <c r="G462" s="9">
        <v>5500</v>
      </c>
    </row>
    <row r="463" spans="1:7" x14ac:dyDescent="0.3">
      <c r="A463" t="s">
        <v>497</v>
      </c>
      <c r="B463" t="s">
        <v>28</v>
      </c>
      <c r="C463" t="s">
        <v>9</v>
      </c>
      <c r="D463">
        <v>94</v>
      </c>
      <c r="E463">
        <v>10</v>
      </c>
      <c r="F463" t="s">
        <v>19</v>
      </c>
      <c r="G463" s="9">
        <v>3500</v>
      </c>
    </row>
    <row r="464" spans="1:7" x14ac:dyDescent="0.3">
      <c r="A464" t="s">
        <v>498</v>
      </c>
      <c r="B464" t="s">
        <v>152</v>
      </c>
      <c r="C464" t="s">
        <v>33</v>
      </c>
      <c r="D464">
        <v>101</v>
      </c>
      <c r="E464">
        <v>20</v>
      </c>
      <c r="F464" t="s">
        <v>29</v>
      </c>
      <c r="G464" s="9">
        <v>1400</v>
      </c>
    </row>
    <row r="465" spans="1:7" x14ac:dyDescent="0.3">
      <c r="A465" t="s">
        <v>499</v>
      </c>
      <c r="B465" t="s">
        <v>28</v>
      </c>
      <c r="C465" t="s">
        <v>15</v>
      </c>
      <c r="D465">
        <v>20</v>
      </c>
      <c r="E465">
        <v>10</v>
      </c>
      <c r="F465" t="s">
        <v>19</v>
      </c>
      <c r="G465" s="9">
        <v>3500</v>
      </c>
    </row>
    <row r="466" spans="1:7" x14ac:dyDescent="0.3">
      <c r="A466" t="s">
        <v>500</v>
      </c>
      <c r="B466" t="s">
        <v>65</v>
      </c>
      <c r="C466" t="s">
        <v>15</v>
      </c>
      <c r="D466">
        <v>32</v>
      </c>
      <c r="E466">
        <v>8</v>
      </c>
      <c r="F466" t="s">
        <v>10</v>
      </c>
      <c r="G466" s="9">
        <v>5500</v>
      </c>
    </row>
    <row r="467" spans="1:7" x14ac:dyDescent="0.3">
      <c r="A467" t="s">
        <v>501</v>
      </c>
      <c r="B467" t="s">
        <v>61</v>
      </c>
      <c r="C467" t="s">
        <v>33</v>
      </c>
      <c r="D467">
        <v>91</v>
      </c>
      <c r="E467">
        <v>28</v>
      </c>
      <c r="F467" t="s">
        <v>22</v>
      </c>
      <c r="G467" s="9">
        <v>1200</v>
      </c>
    </row>
    <row r="468" spans="1:7" x14ac:dyDescent="0.3">
      <c r="A468" t="s">
        <v>502</v>
      </c>
      <c r="B468" t="s">
        <v>58</v>
      </c>
      <c r="C468" t="s">
        <v>26</v>
      </c>
      <c r="D468">
        <v>26</v>
      </c>
      <c r="E468">
        <v>24</v>
      </c>
      <c r="F468" t="s">
        <v>19</v>
      </c>
      <c r="G468" s="9">
        <v>1000</v>
      </c>
    </row>
    <row r="469" spans="1:7" x14ac:dyDescent="0.3">
      <c r="A469" t="s">
        <v>503</v>
      </c>
      <c r="B469" t="s">
        <v>152</v>
      </c>
      <c r="C469" t="s">
        <v>33</v>
      </c>
      <c r="D469">
        <v>61</v>
      </c>
      <c r="E469">
        <v>16</v>
      </c>
      <c r="F469" t="s">
        <v>19</v>
      </c>
      <c r="G469" s="9">
        <v>1400</v>
      </c>
    </row>
    <row r="470" spans="1:7" x14ac:dyDescent="0.3">
      <c r="A470" t="s">
        <v>504</v>
      </c>
      <c r="B470" t="s">
        <v>21</v>
      </c>
      <c r="C470" t="s">
        <v>33</v>
      </c>
      <c r="D470">
        <v>20</v>
      </c>
      <c r="E470">
        <v>32</v>
      </c>
      <c r="F470" t="s">
        <v>16</v>
      </c>
      <c r="G470" s="9">
        <v>2500</v>
      </c>
    </row>
    <row r="471" spans="1:7" x14ac:dyDescent="0.3">
      <c r="A471" t="s">
        <v>505</v>
      </c>
      <c r="B471" t="s">
        <v>58</v>
      </c>
      <c r="C471" t="s">
        <v>26</v>
      </c>
      <c r="D471">
        <v>107</v>
      </c>
      <c r="E471">
        <v>30</v>
      </c>
      <c r="F471" t="s">
        <v>29</v>
      </c>
      <c r="G471" s="9">
        <v>1000</v>
      </c>
    </row>
    <row r="472" spans="1:7" x14ac:dyDescent="0.3">
      <c r="A472" t="s">
        <v>506</v>
      </c>
      <c r="B472" t="s">
        <v>45</v>
      </c>
      <c r="C472" t="s">
        <v>15</v>
      </c>
      <c r="D472">
        <v>88</v>
      </c>
      <c r="E472">
        <v>24</v>
      </c>
      <c r="F472" t="s">
        <v>22</v>
      </c>
      <c r="G472" s="9">
        <v>12000</v>
      </c>
    </row>
    <row r="473" spans="1:7" x14ac:dyDescent="0.3">
      <c r="A473" t="s">
        <v>507</v>
      </c>
      <c r="B473" t="s">
        <v>31</v>
      </c>
      <c r="C473" t="s">
        <v>26</v>
      </c>
      <c r="D473">
        <v>54</v>
      </c>
      <c r="E473">
        <v>6</v>
      </c>
      <c r="F473" t="s">
        <v>29</v>
      </c>
      <c r="G473" s="9">
        <v>3000</v>
      </c>
    </row>
    <row r="474" spans="1:7" x14ac:dyDescent="0.3">
      <c r="A474" t="s">
        <v>508</v>
      </c>
      <c r="B474" t="s">
        <v>65</v>
      </c>
      <c r="C474" t="s">
        <v>33</v>
      </c>
      <c r="D474">
        <v>37</v>
      </c>
      <c r="E474">
        <v>29</v>
      </c>
      <c r="F474" t="s">
        <v>22</v>
      </c>
      <c r="G474" s="9">
        <v>5500</v>
      </c>
    </row>
    <row r="475" spans="1:7" x14ac:dyDescent="0.3">
      <c r="A475" t="s">
        <v>509</v>
      </c>
      <c r="B475" t="s">
        <v>8</v>
      </c>
      <c r="C475" t="s">
        <v>15</v>
      </c>
      <c r="D475">
        <v>29</v>
      </c>
      <c r="E475">
        <v>27</v>
      </c>
      <c r="F475" t="s">
        <v>10</v>
      </c>
      <c r="G475" s="9">
        <v>1800</v>
      </c>
    </row>
    <row r="476" spans="1:7" x14ac:dyDescent="0.3">
      <c r="A476" t="s">
        <v>510</v>
      </c>
      <c r="B476" t="s">
        <v>65</v>
      </c>
      <c r="C476" t="s">
        <v>26</v>
      </c>
      <c r="D476">
        <v>88</v>
      </c>
      <c r="E476">
        <v>8</v>
      </c>
      <c r="F476" t="s">
        <v>10</v>
      </c>
      <c r="G476" s="9">
        <v>5500</v>
      </c>
    </row>
    <row r="477" spans="1:7" x14ac:dyDescent="0.3">
      <c r="A477" t="s">
        <v>511</v>
      </c>
      <c r="B477" t="s">
        <v>12</v>
      </c>
      <c r="C477" t="s">
        <v>9</v>
      </c>
      <c r="D477">
        <v>37</v>
      </c>
      <c r="E477">
        <v>10</v>
      </c>
      <c r="F477" t="s">
        <v>19</v>
      </c>
      <c r="G477" s="9">
        <v>2000</v>
      </c>
    </row>
    <row r="478" spans="1:7" x14ac:dyDescent="0.3">
      <c r="A478" t="s">
        <v>512</v>
      </c>
      <c r="B478" t="s">
        <v>25</v>
      </c>
      <c r="C478" t="s">
        <v>26</v>
      </c>
      <c r="D478">
        <v>106</v>
      </c>
      <c r="E478">
        <v>29</v>
      </c>
      <c r="F478" t="s">
        <v>22</v>
      </c>
      <c r="G478" s="9">
        <v>18000</v>
      </c>
    </row>
    <row r="479" spans="1:7" x14ac:dyDescent="0.3">
      <c r="A479" t="s">
        <v>513</v>
      </c>
      <c r="B479" t="s">
        <v>58</v>
      </c>
      <c r="C479" t="s">
        <v>33</v>
      </c>
      <c r="D479">
        <v>87</v>
      </c>
      <c r="E479">
        <v>17</v>
      </c>
      <c r="F479" t="s">
        <v>29</v>
      </c>
      <c r="G479" s="9">
        <v>1000</v>
      </c>
    </row>
    <row r="480" spans="1:7" x14ac:dyDescent="0.3">
      <c r="A480" t="s">
        <v>514</v>
      </c>
      <c r="B480" t="s">
        <v>65</v>
      </c>
      <c r="C480" t="s">
        <v>33</v>
      </c>
      <c r="D480">
        <v>47</v>
      </c>
      <c r="E480">
        <v>5</v>
      </c>
      <c r="F480" t="s">
        <v>29</v>
      </c>
      <c r="G480" s="9">
        <v>5500</v>
      </c>
    </row>
    <row r="481" spans="1:7" x14ac:dyDescent="0.3">
      <c r="A481" t="s">
        <v>515</v>
      </c>
      <c r="B481" t="s">
        <v>28</v>
      </c>
      <c r="C481" t="s">
        <v>9</v>
      </c>
      <c r="D481">
        <v>42</v>
      </c>
      <c r="E481">
        <v>20</v>
      </c>
      <c r="F481" t="s">
        <v>29</v>
      </c>
      <c r="G481" s="9">
        <v>3500</v>
      </c>
    </row>
    <row r="482" spans="1:7" x14ac:dyDescent="0.3">
      <c r="A482" t="s">
        <v>516</v>
      </c>
      <c r="B482" t="s">
        <v>48</v>
      </c>
      <c r="C482" t="s">
        <v>15</v>
      </c>
      <c r="D482">
        <v>95</v>
      </c>
      <c r="E482">
        <v>29</v>
      </c>
      <c r="F482" t="s">
        <v>29</v>
      </c>
      <c r="G482" s="9">
        <v>10000</v>
      </c>
    </row>
    <row r="483" spans="1:7" x14ac:dyDescent="0.3">
      <c r="A483" t="s">
        <v>517</v>
      </c>
      <c r="B483" t="s">
        <v>63</v>
      </c>
      <c r="C483" t="s">
        <v>26</v>
      </c>
      <c r="D483">
        <v>47</v>
      </c>
      <c r="E483">
        <v>29</v>
      </c>
      <c r="F483" t="s">
        <v>19</v>
      </c>
      <c r="G483" s="9">
        <v>800</v>
      </c>
    </row>
    <row r="484" spans="1:7" x14ac:dyDescent="0.3">
      <c r="A484" t="s">
        <v>518</v>
      </c>
      <c r="B484" t="s">
        <v>48</v>
      </c>
      <c r="C484" t="s">
        <v>15</v>
      </c>
      <c r="D484">
        <v>55</v>
      </c>
      <c r="E484">
        <v>30</v>
      </c>
      <c r="F484" t="s">
        <v>19</v>
      </c>
      <c r="G484" s="9">
        <v>10000</v>
      </c>
    </row>
    <row r="485" spans="1:7" x14ac:dyDescent="0.3">
      <c r="A485" t="s">
        <v>519</v>
      </c>
      <c r="B485" t="s">
        <v>21</v>
      </c>
      <c r="C485" t="s">
        <v>33</v>
      </c>
      <c r="D485">
        <v>32</v>
      </c>
      <c r="E485">
        <v>16</v>
      </c>
      <c r="F485" t="s">
        <v>19</v>
      </c>
      <c r="G485" s="9">
        <v>2500</v>
      </c>
    </row>
    <row r="486" spans="1:7" x14ac:dyDescent="0.3">
      <c r="A486" t="s">
        <v>520</v>
      </c>
      <c r="B486" t="s">
        <v>21</v>
      </c>
      <c r="C486" t="s">
        <v>15</v>
      </c>
      <c r="D486">
        <v>107</v>
      </c>
      <c r="E486">
        <v>32</v>
      </c>
      <c r="F486" t="s">
        <v>22</v>
      </c>
      <c r="G486" s="9">
        <v>2500</v>
      </c>
    </row>
    <row r="487" spans="1:7" x14ac:dyDescent="0.3">
      <c r="A487" t="s">
        <v>521</v>
      </c>
      <c r="B487" t="s">
        <v>43</v>
      </c>
      <c r="C487" t="s">
        <v>9</v>
      </c>
      <c r="D487">
        <v>86</v>
      </c>
      <c r="E487">
        <v>14</v>
      </c>
      <c r="F487" t="s">
        <v>22</v>
      </c>
      <c r="G487" s="9">
        <v>2000</v>
      </c>
    </row>
    <row r="488" spans="1:7" x14ac:dyDescent="0.3">
      <c r="A488" t="s">
        <v>522</v>
      </c>
      <c r="B488" t="s">
        <v>63</v>
      </c>
      <c r="C488" t="s">
        <v>9</v>
      </c>
      <c r="D488">
        <v>29</v>
      </c>
      <c r="E488">
        <v>30</v>
      </c>
      <c r="F488" t="s">
        <v>22</v>
      </c>
      <c r="G488" s="9">
        <v>800</v>
      </c>
    </row>
    <row r="489" spans="1:7" x14ac:dyDescent="0.3">
      <c r="A489" t="s">
        <v>523</v>
      </c>
      <c r="B489" t="s">
        <v>48</v>
      </c>
      <c r="C489" t="s">
        <v>33</v>
      </c>
      <c r="D489">
        <v>53</v>
      </c>
      <c r="E489">
        <v>25</v>
      </c>
      <c r="F489" t="s">
        <v>29</v>
      </c>
      <c r="G489" s="9">
        <v>10000</v>
      </c>
    </row>
    <row r="490" spans="1:7" x14ac:dyDescent="0.3">
      <c r="A490" t="s">
        <v>524</v>
      </c>
      <c r="B490" t="s">
        <v>21</v>
      </c>
      <c r="C490" t="s">
        <v>15</v>
      </c>
      <c r="D490">
        <v>103</v>
      </c>
      <c r="E490">
        <v>14</v>
      </c>
      <c r="F490" t="s">
        <v>10</v>
      </c>
      <c r="G490" s="9">
        <v>2500</v>
      </c>
    </row>
    <row r="491" spans="1:7" x14ac:dyDescent="0.3">
      <c r="A491" t="s">
        <v>525</v>
      </c>
      <c r="B491" t="s">
        <v>65</v>
      </c>
      <c r="C491" t="s">
        <v>33</v>
      </c>
      <c r="D491">
        <v>70</v>
      </c>
      <c r="E491">
        <v>25</v>
      </c>
      <c r="F491" t="s">
        <v>16</v>
      </c>
      <c r="G491" s="9">
        <v>5500</v>
      </c>
    </row>
    <row r="492" spans="1:7" x14ac:dyDescent="0.3">
      <c r="A492" t="s">
        <v>526</v>
      </c>
      <c r="B492" t="s">
        <v>28</v>
      </c>
      <c r="C492" t="s">
        <v>26</v>
      </c>
      <c r="D492">
        <v>65</v>
      </c>
      <c r="E492">
        <v>9</v>
      </c>
      <c r="F492" t="s">
        <v>22</v>
      </c>
      <c r="G492" s="9">
        <v>3500</v>
      </c>
    </row>
    <row r="493" spans="1:7" x14ac:dyDescent="0.3">
      <c r="A493" t="s">
        <v>527</v>
      </c>
      <c r="B493" t="s">
        <v>18</v>
      </c>
      <c r="C493" t="s">
        <v>9</v>
      </c>
      <c r="D493">
        <v>54</v>
      </c>
      <c r="E493">
        <v>20</v>
      </c>
      <c r="F493" t="s">
        <v>19</v>
      </c>
      <c r="G493" s="9">
        <v>11500</v>
      </c>
    </row>
    <row r="494" spans="1:7" x14ac:dyDescent="0.3">
      <c r="A494" t="s">
        <v>528</v>
      </c>
      <c r="B494" t="s">
        <v>152</v>
      </c>
      <c r="C494" t="s">
        <v>15</v>
      </c>
      <c r="D494">
        <v>106</v>
      </c>
      <c r="E494">
        <v>30</v>
      </c>
      <c r="F494" t="s">
        <v>16</v>
      </c>
      <c r="G494" s="9">
        <v>1400</v>
      </c>
    </row>
    <row r="495" spans="1:7" x14ac:dyDescent="0.3">
      <c r="A495" t="s">
        <v>529</v>
      </c>
      <c r="B495" t="s">
        <v>8</v>
      </c>
      <c r="C495" t="s">
        <v>33</v>
      </c>
      <c r="D495">
        <v>57</v>
      </c>
      <c r="E495">
        <v>30</v>
      </c>
      <c r="F495" t="s">
        <v>22</v>
      </c>
      <c r="G495" s="9">
        <v>1800</v>
      </c>
    </row>
    <row r="496" spans="1:7" x14ac:dyDescent="0.3">
      <c r="A496" t="s">
        <v>530</v>
      </c>
      <c r="B496" t="s">
        <v>21</v>
      </c>
      <c r="C496" t="s">
        <v>33</v>
      </c>
      <c r="D496">
        <v>23</v>
      </c>
      <c r="E496">
        <v>25</v>
      </c>
      <c r="F496" t="s">
        <v>22</v>
      </c>
      <c r="G496" s="9">
        <v>2500</v>
      </c>
    </row>
    <row r="497" spans="1:7" x14ac:dyDescent="0.3">
      <c r="A497" t="s">
        <v>531</v>
      </c>
      <c r="B497" t="s">
        <v>43</v>
      </c>
      <c r="C497" t="s">
        <v>15</v>
      </c>
      <c r="D497">
        <v>100</v>
      </c>
      <c r="E497">
        <v>21</v>
      </c>
      <c r="F497" t="s">
        <v>19</v>
      </c>
      <c r="G497" s="9">
        <v>2000</v>
      </c>
    </row>
    <row r="498" spans="1:7" x14ac:dyDescent="0.3">
      <c r="A498" t="s">
        <v>532</v>
      </c>
      <c r="B498" t="s">
        <v>58</v>
      </c>
      <c r="C498" t="s">
        <v>9</v>
      </c>
      <c r="D498">
        <v>16</v>
      </c>
      <c r="E498">
        <v>14</v>
      </c>
      <c r="F498" t="s">
        <v>19</v>
      </c>
      <c r="G498" s="9">
        <v>1000</v>
      </c>
    </row>
    <row r="499" spans="1:7" x14ac:dyDescent="0.3">
      <c r="A499" t="s">
        <v>533</v>
      </c>
      <c r="B499" t="s">
        <v>63</v>
      </c>
      <c r="C499" t="s">
        <v>15</v>
      </c>
      <c r="D499">
        <v>50</v>
      </c>
      <c r="E499">
        <v>20</v>
      </c>
      <c r="F499" t="s">
        <v>19</v>
      </c>
      <c r="G499" s="9">
        <v>800</v>
      </c>
    </row>
    <row r="500" spans="1:7" x14ac:dyDescent="0.3">
      <c r="A500" t="s">
        <v>534</v>
      </c>
      <c r="B500" t="s">
        <v>8</v>
      </c>
      <c r="C500" t="s">
        <v>33</v>
      </c>
      <c r="D500">
        <v>101</v>
      </c>
      <c r="E500">
        <v>22</v>
      </c>
      <c r="F500" t="s">
        <v>10</v>
      </c>
      <c r="G500" s="9">
        <v>1800</v>
      </c>
    </row>
    <row r="501" spans="1:7" x14ac:dyDescent="0.3">
      <c r="A501" t="s">
        <v>535</v>
      </c>
      <c r="B501" t="s">
        <v>38</v>
      </c>
      <c r="C501" t="s">
        <v>33</v>
      </c>
      <c r="D501">
        <v>10</v>
      </c>
      <c r="E501">
        <v>29</v>
      </c>
      <c r="F501" t="s">
        <v>16</v>
      </c>
      <c r="G501" s="9">
        <v>1500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0B1ED-3DF9-473A-A268-4DCE073B9B4A}">
  <dimension ref="A1:E6"/>
  <sheetViews>
    <sheetView tabSelected="1" workbookViewId="0">
      <selection activeCell="G17" sqref="G17"/>
    </sheetView>
  </sheetViews>
  <sheetFormatPr defaultRowHeight="14.4" x14ac:dyDescent="0.3"/>
  <cols>
    <col min="1" max="1" width="12.44140625" bestFit="1" customWidth="1"/>
    <col min="2" max="2" width="15.77734375" bestFit="1" customWidth="1"/>
    <col min="3" max="3" width="10.77734375" bestFit="1" customWidth="1"/>
    <col min="4" max="4" width="17.33203125" bestFit="1" customWidth="1"/>
    <col min="5" max="5" width="8.109375" bestFit="1" customWidth="1"/>
  </cols>
  <sheetData>
    <row r="1" spans="1:5" x14ac:dyDescent="0.3">
      <c r="A1" t="s">
        <v>5</v>
      </c>
      <c r="B1" t="s">
        <v>536</v>
      </c>
      <c r="C1" t="s">
        <v>537</v>
      </c>
      <c r="D1" t="s">
        <v>538</v>
      </c>
      <c r="E1" t="s">
        <v>539</v>
      </c>
    </row>
    <row r="2" spans="1:5" x14ac:dyDescent="0.3">
      <c r="A2" t="s">
        <v>19</v>
      </c>
      <c r="B2" t="s">
        <v>540</v>
      </c>
      <c r="C2" t="s">
        <v>541</v>
      </c>
      <c r="D2">
        <v>912345681</v>
      </c>
      <c r="E2">
        <v>4.5</v>
      </c>
    </row>
    <row r="3" spans="1:5" x14ac:dyDescent="0.3">
      <c r="A3" t="s">
        <v>10</v>
      </c>
      <c r="B3" t="s">
        <v>542</v>
      </c>
      <c r="C3" t="s">
        <v>543</v>
      </c>
      <c r="D3">
        <v>9987654321</v>
      </c>
      <c r="E3">
        <v>4.2</v>
      </c>
    </row>
    <row r="4" spans="1:5" x14ac:dyDescent="0.3">
      <c r="A4" t="s">
        <v>22</v>
      </c>
      <c r="B4" t="s">
        <v>544</v>
      </c>
      <c r="C4" t="s">
        <v>545</v>
      </c>
      <c r="D4">
        <v>9171234568</v>
      </c>
      <c r="E4">
        <v>4.8</v>
      </c>
    </row>
    <row r="5" spans="1:5" x14ac:dyDescent="0.3">
      <c r="A5" t="s">
        <v>29</v>
      </c>
      <c r="B5" t="s">
        <v>546</v>
      </c>
      <c r="C5" t="s">
        <v>547</v>
      </c>
      <c r="D5">
        <v>9081231234</v>
      </c>
      <c r="E5">
        <v>4.5999999999999996</v>
      </c>
    </row>
    <row r="6" spans="1:5" x14ac:dyDescent="0.3">
      <c r="A6" t="s">
        <v>16</v>
      </c>
      <c r="B6" t="s">
        <v>548</v>
      </c>
      <c r="C6" t="s">
        <v>549</v>
      </c>
      <c r="D6">
        <v>9188887779</v>
      </c>
      <c r="E6">
        <v>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AFE09-5DA2-4CC9-A79C-521D52C1E2F1}">
  <dimension ref="A1:L501"/>
  <sheetViews>
    <sheetView topLeftCell="A171" workbookViewId="0">
      <selection activeCell="E49" sqref="E49"/>
    </sheetView>
  </sheetViews>
  <sheetFormatPr defaultRowHeight="14.4" x14ac:dyDescent="0.3"/>
  <cols>
    <col min="1" max="1" width="13.6640625" bestFit="1" customWidth="1"/>
    <col min="2" max="2" width="9.5546875" bestFit="1" customWidth="1"/>
    <col min="3" max="3" width="12.44140625" bestFit="1" customWidth="1"/>
    <col min="4" max="4" width="10.33203125" bestFit="1" customWidth="1"/>
    <col min="5" max="5" width="16" bestFit="1" customWidth="1"/>
    <col min="6" max="6" width="14.6640625" bestFit="1" customWidth="1"/>
    <col min="7" max="7" width="8.6640625" bestFit="1" customWidth="1"/>
    <col min="8" max="8" width="6.88671875" bestFit="1" customWidth="1"/>
    <col min="10" max="10" width="9.44140625" bestFit="1" customWidth="1"/>
    <col min="11" max="11" width="7.6640625" bestFit="1" customWidth="1"/>
  </cols>
  <sheetData>
    <row r="1" spans="1:12" x14ac:dyDescent="0.3">
      <c r="A1" t="s">
        <v>550</v>
      </c>
      <c r="B1" t="s">
        <v>0</v>
      </c>
      <c r="C1" t="s">
        <v>5</v>
      </c>
      <c r="D1" t="s">
        <v>551</v>
      </c>
      <c r="E1" t="s">
        <v>552</v>
      </c>
      <c r="F1" t="s">
        <v>553</v>
      </c>
      <c r="G1" t="s">
        <v>554</v>
      </c>
      <c r="H1" t="s">
        <v>555</v>
      </c>
      <c r="I1" t="s">
        <v>556</v>
      </c>
      <c r="J1" t="s">
        <v>557</v>
      </c>
      <c r="K1" t="s">
        <v>558</v>
      </c>
      <c r="L1" t="s">
        <v>1082</v>
      </c>
    </row>
    <row r="2" spans="1:12" hidden="1" x14ac:dyDescent="0.3">
      <c r="A2" t="s">
        <v>559</v>
      </c>
      <c r="B2" t="s">
        <v>463</v>
      </c>
      <c r="C2" t="s">
        <v>29</v>
      </c>
      <c r="D2">
        <v>57</v>
      </c>
      <c r="E2" s="1">
        <v>45627</v>
      </c>
      <c r="F2" s="1"/>
      <c r="G2" t="s">
        <v>560</v>
      </c>
      <c r="H2">
        <v>2024</v>
      </c>
      <c r="I2">
        <v>12</v>
      </c>
      <c r="J2">
        <v>4</v>
      </c>
      <c r="K2">
        <v>1</v>
      </c>
      <c r="L2" cm="1">
        <f t="array" ref="L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 spans="1:12" hidden="1" x14ac:dyDescent="0.3">
      <c r="A3" t="s">
        <v>561</v>
      </c>
      <c r="B3" t="s">
        <v>336</v>
      </c>
      <c r="C3" t="s">
        <v>22</v>
      </c>
      <c r="D3">
        <v>99</v>
      </c>
      <c r="E3" s="1">
        <v>45627</v>
      </c>
      <c r="F3" s="1"/>
      <c r="G3" t="s">
        <v>560</v>
      </c>
      <c r="H3">
        <v>2024</v>
      </c>
      <c r="I3">
        <v>12</v>
      </c>
      <c r="J3">
        <v>4</v>
      </c>
      <c r="K3">
        <v>1</v>
      </c>
      <c r="L3" cm="1">
        <f t="array" ref="L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4" spans="1:12" x14ac:dyDescent="0.3">
      <c r="A4" t="s">
        <v>562</v>
      </c>
      <c r="B4" t="s">
        <v>512</v>
      </c>
      <c r="C4" t="s">
        <v>16</v>
      </c>
      <c r="D4">
        <v>39</v>
      </c>
      <c r="E4" s="1">
        <v>45627</v>
      </c>
      <c r="F4" s="1">
        <v>45636</v>
      </c>
      <c r="G4" t="s">
        <v>563</v>
      </c>
      <c r="H4">
        <v>2024</v>
      </c>
      <c r="I4">
        <v>12</v>
      </c>
      <c r="J4">
        <v>4</v>
      </c>
      <c r="K4">
        <v>1</v>
      </c>
      <c r="L4" cm="1">
        <f t="array" ref="L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5" spans="1:12" x14ac:dyDescent="0.3">
      <c r="A5" t="s">
        <v>564</v>
      </c>
      <c r="B5" t="s">
        <v>89</v>
      </c>
      <c r="C5" t="s">
        <v>10</v>
      </c>
      <c r="D5">
        <v>102</v>
      </c>
      <c r="E5" s="1">
        <v>45627</v>
      </c>
      <c r="F5" s="1">
        <v>45637</v>
      </c>
      <c r="G5" t="s">
        <v>563</v>
      </c>
      <c r="H5">
        <v>2024</v>
      </c>
      <c r="I5">
        <v>12</v>
      </c>
      <c r="J5">
        <v>4</v>
      </c>
      <c r="K5">
        <v>1</v>
      </c>
      <c r="L5" cm="1">
        <f t="array" ref="L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6" spans="1:12" x14ac:dyDescent="0.3">
      <c r="A6" t="s">
        <v>565</v>
      </c>
      <c r="B6" t="s">
        <v>388</v>
      </c>
      <c r="C6" t="s">
        <v>19</v>
      </c>
      <c r="D6">
        <v>50</v>
      </c>
      <c r="E6" s="1">
        <v>45628</v>
      </c>
      <c r="F6" s="1">
        <v>45636</v>
      </c>
      <c r="G6" t="s">
        <v>563</v>
      </c>
      <c r="H6">
        <v>2024</v>
      </c>
      <c r="I6">
        <v>12</v>
      </c>
      <c r="J6">
        <v>4</v>
      </c>
      <c r="K6">
        <v>1</v>
      </c>
      <c r="L6" cm="1">
        <f t="array" ref="L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7" spans="1:12" x14ac:dyDescent="0.3">
      <c r="A7" t="s">
        <v>566</v>
      </c>
      <c r="B7" t="s">
        <v>198</v>
      </c>
      <c r="C7" t="s">
        <v>16</v>
      </c>
      <c r="D7">
        <v>90</v>
      </c>
      <c r="E7" s="1">
        <v>45629</v>
      </c>
      <c r="F7" s="1">
        <v>45638</v>
      </c>
      <c r="G7" t="s">
        <v>563</v>
      </c>
      <c r="H7">
        <v>2024</v>
      </c>
      <c r="I7">
        <v>12</v>
      </c>
      <c r="J7">
        <v>4</v>
      </c>
      <c r="K7">
        <v>1</v>
      </c>
      <c r="L7" cm="1">
        <f t="array" ref="L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8" spans="1:12" x14ac:dyDescent="0.3">
      <c r="A8" t="s">
        <v>567</v>
      </c>
      <c r="B8" t="s">
        <v>374</v>
      </c>
      <c r="C8" t="s">
        <v>10</v>
      </c>
      <c r="D8">
        <v>44</v>
      </c>
      <c r="E8" s="1">
        <v>45629</v>
      </c>
      <c r="F8" s="1">
        <v>45640</v>
      </c>
      <c r="G8" t="s">
        <v>563</v>
      </c>
      <c r="H8">
        <v>2024</v>
      </c>
      <c r="I8">
        <v>12</v>
      </c>
      <c r="J8">
        <v>4</v>
      </c>
      <c r="K8">
        <v>1</v>
      </c>
      <c r="L8" cm="1">
        <f t="array" ref="L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9" spans="1:12" hidden="1" x14ac:dyDescent="0.3">
      <c r="A9" t="s">
        <v>568</v>
      </c>
      <c r="B9" t="s">
        <v>454</v>
      </c>
      <c r="C9" t="s">
        <v>19</v>
      </c>
      <c r="D9">
        <v>98</v>
      </c>
      <c r="E9" s="1">
        <v>45630</v>
      </c>
      <c r="F9" s="1"/>
      <c r="G9" t="s">
        <v>560</v>
      </c>
      <c r="H9">
        <v>2024</v>
      </c>
      <c r="I9">
        <v>12</v>
      </c>
      <c r="J9">
        <v>4</v>
      </c>
      <c r="K9">
        <v>1</v>
      </c>
      <c r="L9" cm="1">
        <f t="array" ref="L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0" spans="1:12" hidden="1" x14ac:dyDescent="0.3">
      <c r="A10" t="s">
        <v>569</v>
      </c>
      <c r="B10" t="s">
        <v>517</v>
      </c>
      <c r="C10" t="s">
        <v>29</v>
      </c>
      <c r="D10">
        <v>42</v>
      </c>
      <c r="E10" s="1">
        <v>45630</v>
      </c>
      <c r="F10" s="1"/>
      <c r="G10" t="s">
        <v>560</v>
      </c>
      <c r="H10">
        <v>2024</v>
      </c>
      <c r="I10">
        <v>12</v>
      </c>
      <c r="J10">
        <v>4</v>
      </c>
      <c r="K10">
        <v>1</v>
      </c>
      <c r="L10" cm="1">
        <f t="array" ref="L1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1" spans="1:12" hidden="1" x14ac:dyDescent="0.3">
      <c r="A11" t="s">
        <v>570</v>
      </c>
      <c r="B11" t="s">
        <v>252</v>
      </c>
      <c r="C11" t="s">
        <v>22</v>
      </c>
      <c r="D11">
        <v>20</v>
      </c>
      <c r="E11" s="1">
        <v>45631</v>
      </c>
      <c r="F11" s="1"/>
      <c r="G11" t="s">
        <v>560</v>
      </c>
      <c r="H11">
        <v>2024</v>
      </c>
      <c r="I11">
        <v>12</v>
      </c>
      <c r="J11">
        <v>4</v>
      </c>
      <c r="K11">
        <v>1</v>
      </c>
      <c r="L11" cm="1">
        <f t="array" ref="L1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2" spans="1:12" x14ac:dyDescent="0.3">
      <c r="A12" t="s">
        <v>571</v>
      </c>
      <c r="B12" t="s">
        <v>299</v>
      </c>
      <c r="C12" t="s">
        <v>16</v>
      </c>
      <c r="D12">
        <v>91</v>
      </c>
      <c r="E12" s="1">
        <v>45632</v>
      </c>
      <c r="F12" s="1">
        <v>45639</v>
      </c>
      <c r="G12" t="s">
        <v>563</v>
      </c>
      <c r="H12">
        <v>2024</v>
      </c>
      <c r="I12">
        <v>12</v>
      </c>
      <c r="J12">
        <v>4</v>
      </c>
      <c r="K12">
        <v>1</v>
      </c>
      <c r="L12" cm="1">
        <f t="array" ref="L1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3" spans="1:12" x14ac:dyDescent="0.3">
      <c r="A13" t="s">
        <v>572</v>
      </c>
      <c r="B13" t="s">
        <v>60</v>
      </c>
      <c r="C13" t="s">
        <v>19</v>
      </c>
      <c r="D13">
        <v>20</v>
      </c>
      <c r="E13" s="1">
        <v>45633</v>
      </c>
      <c r="F13" s="1">
        <v>45645</v>
      </c>
      <c r="G13" t="s">
        <v>563</v>
      </c>
      <c r="H13">
        <v>2024</v>
      </c>
      <c r="I13">
        <v>12</v>
      </c>
      <c r="J13">
        <v>4</v>
      </c>
      <c r="K13">
        <v>1</v>
      </c>
      <c r="L13" cm="1">
        <f t="array" ref="L1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4" spans="1:12" hidden="1" x14ac:dyDescent="0.3">
      <c r="A14" t="s">
        <v>573</v>
      </c>
      <c r="B14" t="s">
        <v>305</v>
      </c>
      <c r="C14" t="s">
        <v>19</v>
      </c>
      <c r="D14">
        <v>25</v>
      </c>
      <c r="E14" s="1">
        <v>45634</v>
      </c>
      <c r="F14" s="1"/>
      <c r="G14" t="s">
        <v>574</v>
      </c>
      <c r="H14">
        <v>2024</v>
      </c>
      <c r="I14">
        <v>12</v>
      </c>
      <c r="J14">
        <v>4</v>
      </c>
      <c r="K14">
        <v>2</v>
      </c>
      <c r="L14" cm="1">
        <f t="array" ref="L1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5" spans="1:12" x14ac:dyDescent="0.3">
      <c r="A15" t="s">
        <v>575</v>
      </c>
      <c r="B15" t="s">
        <v>428</v>
      </c>
      <c r="C15" t="s">
        <v>16</v>
      </c>
      <c r="D15">
        <v>78</v>
      </c>
      <c r="E15" s="1">
        <v>45634</v>
      </c>
      <c r="F15" s="1">
        <v>45648</v>
      </c>
      <c r="G15" t="s">
        <v>563</v>
      </c>
      <c r="H15">
        <v>2024</v>
      </c>
      <c r="I15">
        <v>12</v>
      </c>
      <c r="J15">
        <v>4</v>
      </c>
      <c r="K15">
        <v>2</v>
      </c>
      <c r="L15" cm="1">
        <f t="array" ref="L1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6" spans="1:12" x14ac:dyDescent="0.3">
      <c r="A16" t="s">
        <v>576</v>
      </c>
      <c r="B16" t="s">
        <v>92</v>
      </c>
      <c r="C16" t="s">
        <v>22</v>
      </c>
      <c r="D16">
        <v>67</v>
      </c>
      <c r="E16" s="1">
        <v>45635</v>
      </c>
      <c r="F16" s="1">
        <v>45649</v>
      </c>
      <c r="G16" t="s">
        <v>563</v>
      </c>
      <c r="H16">
        <v>2024</v>
      </c>
      <c r="I16">
        <v>12</v>
      </c>
      <c r="J16">
        <v>4</v>
      </c>
      <c r="K16">
        <v>2</v>
      </c>
      <c r="L16" cm="1">
        <f t="array" ref="L1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7" spans="1:12" x14ac:dyDescent="0.3">
      <c r="A17" t="s">
        <v>577</v>
      </c>
      <c r="B17" t="s">
        <v>37</v>
      </c>
      <c r="C17" t="s">
        <v>16</v>
      </c>
      <c r="D17">
        <v>21</v>
      </c>
      <c r="E17" s="1">
        <v>45635</v>
      </c>
      <c r="F17" s="1">
        <v>45647</v>
      </c>
      <c r="G17" t="s">
        <v>563</v>
      </c>
      <c r="H17">
        <v>2024</v>
      </c>
      <c r="I17">
        <v>12</v>
      </c>
      <c r="J17">
        <v>4</v>
      </c>
      <c r="K17">
        <v>2</v>
      </c>
      <c r="L17" cm="1">
        <f t="array" ref="L1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8" spans="1:12" hidden="1" x14ac:dyDescent="0.3">
      <c r="A18" t="s">
        <v>578</v>
      </c>
      <c r="B18" t="s">
        <v>219</v>
      </c>
      <c r="C18" t="s">
        <v>22</v>
      </c>
      <c r="D18">
        <v>94</v>
      </c>
      <c r="E18" s="1">
        <v>45636</v>
      </c>
      <c r="F18" s="1"/>
      <c r="G18" t="s">
        <v>574</v>
      </c>
      <c r="H18">
        <v>2024</v>
      </c>
      <c r="I18">
        <v>12</v>
      </c>
      <c r="J18">
        <v>4</v>
      </c>
      <c r="K18">
        <v>2</v>
      </c>
      <c r="L18" cm="1">
        <f t="array" ref="L1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9" spans="1:12" hidden="1" x14ac:dyDescent="0.3">
      <c r="A19" t="s">
        <v>579</v>
      </c>
      <c r="B19" t="s">
        <v>204</v>
      </c>
      <c r="C19" t="s">
        <v>19</v>
      </c>
      <c r="D19">
        <v>70</v>
      </c>
      <c r="E19" s="1">
        <v>45637</v>
      </c>
      <c r="F19" s="1"/>
      <c r="G19" t="s">
        <v>574</v>
      </c>
      <c r="H19">
        <v>2024</v>
      </c>
      <c r="I19">
        <v>12</v>
      </c>
      <c r="J19">
        <v>4</v>
      </c>
      <c r="K19">
        <v>2</v>
      </c>
      <c r="L19" cm="1">
        <f t="array" ref="L1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0" spans="1:12" hidden="1" x14ac:dyDescent="0.3">
      <c r="A20" t="s">
        <v>580</v>
      </c>
      <c r="B20" t="s">
        <v>342</v>
      </c>
      <c r="C20" t="s">
        <v>19</v>
      </c>
      <c r="D20">
        <v>98</v>
      </c>
      <c r="E20" s="1">
        <v>45637</v>
      </c>
      <c r="F20" s="1"/>
      <c r="G20" t="s">
        <v>574</v>
      </c>
      <c r="H20">
        <v>2024</v>
      </c>
      <c r="I20">
        <v>12</v>
      </c>
      <c r="J20">
        <v>4</v>
      </c>
      <c r="K20">
        <v>2</v>
      </c>
      <c r="L20" cm="1">
        <f t="array" ref="L2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1" spans="1:12" hidden="1" x14ac:dyDescent="0.3">
      <c r="A21" t="s">
        <v>581</v>
      </c>
      <c r="B21" t="s">
        <v>93</v>
      </c>
      <c r="C21" t="s">
        <v>10</v>
      </c>
      <c r="D21">
        <v>34</v>
      </c>
      <c r="E21" s="1">
        <v>45640</v>
      </c>
      <c r="F21" s="1"/>
      <c r="G21" t="s">
        <v>560</v>
      </c>
      <c r="H21">
        <v>2024</v>
      </c>
      <c r="I21">
        <v>12</v>
      </c>
      <c r="J21">
        <v>4</v>
      </c>
      <c r="K21">
        <v>3</v>
      </c>
      <c r="L21" cm="1">
        <f t="array" ref="L2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2" spans="1:12" x14ac:dyDescent="0.3">
      <c r="A22" t="s">
        <v>582</v>
      </c>
      <c r="B22" t="s">
        <v>508</v>
      </c>
      <c r="C22" t="s">
        <v>10</v>
      </c>
      <c r="D22">
        <v>29</v>
      </c>
      <c r="E22" s="1">
        <v>45640</v>
      </c>
      <c r="F22" s="1">
        <v>45644</v>
      </c>
      <c r="G22" t="s">
        <v>563</v>
      </c>
      <c r="H22">
        <v>2024</v>
      </c>
      <c r="I22">
        <v>12</v>
      </c>
      <c r="J22">
        <v>4</v>
      </c>
      <c r="K22">
        <v>2</v>
      </c>
      <c r="L22" cm="1">
        <f t="array" ref="L2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3" spans="1:12" x14ac:dyDescent="0.3">
      <c r="A23" t="s">
        <v>583</v>
      </c>
      <c r="B23" t="s">
        <v>382</v>
      </c>
      <c r="C23" t="s">
        <v>19</v>
      </c>
      <c r="D23">
        <v>96</v>
      </c>
      <c r="E23" s="1">
        <v>45640</v>
      </c>
      <c r="F23" s="1">
        <v>45643</v>
      </c>
      <c r="G23" t="s">
        <v>563</v>
      </c>
      <c r="H23">
        <v>2024</v>
      </c>
      <c r="I23">
        <v>12</v>
      </c>
      <c r="J23">
        <v>4</v>
      </c>
      <c r="K23">
        <v>2</v>
      </c>
      <c r="L23" cm="1">
        <f t="array" ref="L2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4" spans="1:12" x14ac:dyDescent="0.3">
      <c r="A24" t="s">
        <v>584</v>
      </c>
      <c r="B24" t="s">
        <v>292</v>
      </c>
      <c r="C24" t="s">
        <v>19</v>
      </c>
      <c r="D24">
        <v>105</v>
      </c>
      <c r="E24" s="1">
        <v>45641</v>
      </c>
      <c r="F24" s="1">
        <v>45652</v>
      </c>
      <c r="G24" t="s">
        <v>563</v>
      </c>
      <c r="H24">
        <v>2024</v>
      </c>
      <c r="I24">
        <v>12</v>
      </c>
      <c r="J24">
        <v>4</v>
      </c>
      <c r="K24">
        <v>3</v>
      </c>
      <c r="L24" cm="1">
        <f t="array" ref="L2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 spans="1:12" x14ac:dyDescent="0.3">
      <c r="A25" t="s">
        <v>585</v>
      </c>
      <c r="B25" t="s">
        <v>293</v>
      </c>
      <c r="C25" t="s">
        <v>10</v>
      </c>
      <c r="D25">
        <v>78</v>
      </c>
      <c r="E25" s="1">
        <v>45641</v>
      </c>
      <c r="F25" s="1">
        <v>45650</v>
      </c>
      <c r="G25" t="s">
        <v>563</v>
      </c>
      <c r="H25">
        <v>2024</v>
      </c>
      <c r="I25">
        <v>12</v>
      </c>
      <c r="J25">
        <v>4</v>
      </c>
      <c r="K25">
        <v>3</v>
      </c>
      <c r="L25" cm="1">
        <f t="array" ref="L2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 spans="1:12" x14ac:dyDescent="0.3">
      <c r="A26" t="s">
        <v>586</v>
      </c>
      <c r="B26" t="s">
        <v>329</v>
      </c>
      <c r="C26" t="s">
        <v>22</v>
      </c>
      <c r="D26">
        <v>20</v>
      </c>
      <c r="E26" s="1">
        <v>45642</v>
      </c>
      <c r="F26" s="1">
        <v>45648</v>
      </c>
      <c r="G26" t="s">
        <v>563</v>
      </c>
      <c r="H26">
        <v>2024</v>
      </c>
      <c r="I26">
        <v>12</v>
      </c>
      <c r="J26">
        <v>4</v>
      </c>
      <c r="K26">
        <v>3</v>
      </c>
      <c r="L26" cm="1">
        <f t="array" ref="L2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 spans="1:12" x14ac:dyDescent="0.3">
      <c r="A27" t="s">
        <v>587</v>
      </c>
      <c r="B27" t="s">
        <v>260</v>
      </c>
      <c r="C27" t="s">
        <v>16</v>
      </c>
      <c r="D27">
        <v>47</v>
      </c>
      <c r="E27" s="1">
        <v>45643</v>
      </c>
      <c r="F27" s="1">
        <v>45653</v>
      </c>
      <c r="G27" t="s">
        <v>563</v>
      </c>
      <c r="H27">
        <v>2024</v>
      </c>
      <c r="I27">
        <v>12</v>
      </c>
      <c r="J27">
        <v>4</v>
      </c>
      <c r="K27">
        <v>3</v>
      </c>
      <c r="L27" cm="1">
        <f t="array" ref="L2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8" spans="1:12" hidden="1" x14ac:dyDescent="0.3">
      <c r="A28" t="s">
        <v>588</v>
      </c>
      <c r="B28" t="s">
        <v>156</v>
      </c>
      <c r="C28" t="s">
        <v>22</v>
      </c>
      <c r="D28">
        <v>12</v>
      </c>
      <c r="E28" s="1">
        <v>45645</v>
      </c>
      <c r="F28" s="1"/>
      <c r="G28" t="s">
        <v>574</v>
      </c>
      <c r="H28">
        <v>2024</v>
      </c>
      <c r="I28">
        <v>12</v>
      </c>
      <c r="J28">
        <v>4</v>
      </c>
      <c r="K28">
        <v>3</v>
      </c>
      <c r="L28" cm="1">
        <f t="array" ref="L2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9" spans="1:12" x14ac:dyDescent="0.3">
      <c r="A29" t="s">
        <v>589</v>
      </c>
      <c r="B29" t="s">
        <v>109</v>
      </c>
      <c r="C29" t="s">
        <v>22</v>
      </c>
      <c r="D29">
        <v>48</v>
      </c>
      <c r="E29" s="1">
        <v>45646</v>
      </c>
      <c r="F29" s="1">
        <v>45653</v>
      </c>
      <c r="G29" t="s">
        <v>563</v>
      </c>
      <c r="H29">
        <v>2024</v>
      </c>
      <c r="I29">
        <v>12</v>
      </c>
      <c r="J29">
        <v>4</v>
      </c>
      <c r="K29">
        <v>3</v>
      </c>
      <c r="L29" cm="1">
        <f t="array" ref="L2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0" spans="1:12" hidden="1" x14ac:dyDescent="0.3">
      <c r="A30" t="s">
        <v>590</v>
      </c>
      <c r="B30" t="s">
        <v>173</v>
      </c>
      <c r="C30" t="s">
        <v>29</v>
      </c>
      <c r="D30">
        <v>106</v>
      </c>
      <c r="E30" s="1">
        <v>45647</v>
      </c>
      <c r="F30" s="1"/>
      <c r="G30" t="s">
        <v>560</v>
      </c>
      <c r="H30">
        <v>2024</v>
      </c>
      <c r="I30">
        <v>12</v>
      </c>
      <c r="J30">
        <v>4</v>
      </c>
      <c r="K30">
        <v>3</v>
      </c>
      <c r="L30" cm="1">
        <f t="array" ref="L3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1" spans="1:12" x14ac:dyDescent="0.3">
      <c r="A31" t="s">
        <v>591</v>
      </c>
      <c r="B31" t="s">
        <v>422</v>
      </c>
      <c r="C31" t="s">
        <v>19</v>
      </c>
      <c r="D31">
        <v>41</v>
      </c>
      <c r="E31" s="1">
        <v>45647</v>
      </c>
      <c r="F31" s="1">
        <v>45658</v>
      </c>
      <c r="G31" t="s">
        <v>563</v>
      </c>
      <c r="H31">
        <v>2024</v>
      </c>
      <c r="I31">
        <v>12</v>
      </c>
      <c r="J31">
        <v>4</v>
      </c>
      <c r="K31">
        <v>3</v>
      </c>
      <c r="L31" cm="1">
        <f t="array" ref="L3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2" spans="1:12" hidden="1" x14ac:dyDescent="0.3">
      <c r="A32" t="s">
        <v>592</v>
      </c>
      <c r="B32" t="s">
        <v>503</v>
      </c>
      <c r="C32" t="s">
        <v>29</v>
      </c>
      <c r="D32">
        <v>67</v>
      </c>
      <c r="E32" s="1">
        <v>45647</v>
      </c>
      <c r="F32" s="1"/>
      <c r="G32" t="s">
        <v>560</v>
      </c>
      <c r="H32">
        <v>2024</v>
      </c>
      <c r="I32">
        <v>12</v>
      </c>
      <c r="J32">
        <v>4</v>
      </c>
      <c r="K32">
        <v>3</v>
      </c>
      <c r="L32" cm="1">
        <f t="array" ref="L3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3" spans="1:12" x14ac:dyDescent="0.3">
      <c r="A33" t="s">
        <v>593</v>
      </c>
      <c r="B33" t="s">
        <v>351</v>
      </c>
      <c r="C33" t="s">
        <v>10</v>
      </c>
      <c r="D33">
        <v>99</v>
      </c>
      <c r="E33" s="1">
        <v>45649</v>
      </c>
      <c r="F33" s="1">
        <v>45661</v>
      </c>
      <c r="G33" t="s">
        <v>563</v>
      </c>
      <c r="H33">
        <v>2024</v>
      </c>
      <c r="I33">
        <v>12</v>
      </c>
      <c r="J33">
        <v>4</v>
      </c>
      <c r="K33">
        <v>4</v>
      </c>
      <c r="L33" cm="1">
        <f t="array" ref="L3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4" spans="1:12" hidden="1" x14ac:dyDescent="0.3">
      <c r="A34" t="s">
        <v>594</v>
      </c>
      <c r="B34" t="s">
        <v>328</v>
      </c>
      <c r="C34" t="s">
        <v>16</v>
      </c>
      <c r="D34">
        <v>109</v>
      </c>
      <c r="E34" s="1">
        <v>45653</v>
      </c>
      <c r="F34" s="1"/>
      <c r="G34" t="s">
        <v>574</v>
      </c>
      <c r="H34">
        <v>2024</v>
      </c>
      <c r="I34">
        <v>12</v>
      </c>
      <c r="J34">
        <v>4</v>
      </c>
      <c r="K34">
        <v>4</v>
      </c>
      <c r="L34" cm="1">
        <f t="array" ref="L3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5" spans="1:12" hidden="1" x14ac:dyDescent="0.3">
      <c r="A35" t="s">
        <v>595</v>
      </c>
      <c r="B35" t="s">
        <v>321</v>
      </c>
      <c r="C35" t="s">
        <v>22</v>
      </c>
      <c r="D35">
        <v>10</v>
      </c>
      <c r="E35" s="1">
        <v>45654</v>
      </c>
      <c r="F35" s="1"/>
      <c r="G35" t="s">
        <v>574</v>
      </c>
      <c r="H35">
        <v>2024</v>
      </c>
      <c r="I35">
        <v>12</v>
      </c>
      <c r="J35">
        <v>4</v>
      </c>
      <c r="K35">
        <v>5</v>
      </c>
      <c r="L35" cm="1">
        <f t="array" ref="L3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6" spans="1:12" x14ac:dyDescent="0.3">
      <c r="A36" t="s">
        <v>596</v>
      </c>
      <c r="B36" t="s">
        <v>424</v>
      </c>
      <c r="C36" t="s">
        <v>22</v>
      </c>
      <c r="D36">
        <v>14</v>
      </c>
      <c r="E36" s="1">
        <v>45655</v>
      </c>
      <c r="F36" s="1">
        <v>45661</v>
      </c>
      <c r="G36" t="s">
        <v>563</v>
      </c>
      <c r="H36">
        <v>2024</v>
      </c>
      <c r="I36">
        <v>12</v>
      </c>
      <c r="J36">
        <v>4</v>
      </c>
      <c r="K36">
        <v>5</v>
      </c>
      <c r="L36" cm="1">
        <f t="array" ref="L3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7" spans="1:12" x14ac:dyDescent="0.3">
      <c r="A37" t="s">
        <v>597</v>
      </c>
      <c r="B37" t="s">
        <v>131</v>
      </c>
      <c r="C37" t="s">
        <v>29</v>
      </c>
      <c r="D37">
        <v>66</v>
      </c>
      <c r="E37" s="1">
        <v>45655</v>
      </c>
      <c r="F37" s="1">
        <v>45662</v>
      </c>
      <c r="G37" t="s">
        <v>563</v>
      </c>
      <c r="H37">
        <v>2024</v>
      </c>
      <c r="I37">
        <v>12</v>
      </c>
      <c r="J37">
        <v>4</v>
      </c>
      <c r="K37">
        <v>5</v>
      </c>
      <c r="L37" cm="1">
        <f t="array" ref="L3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8" spans="1:12" x14ac:dyDescent="0.3">
      <c r="A38" t="s">
        <v>598</v>
      </c>
      <c r="B38" t="s">
        <v>326</v>
      </c>
      <c r="C38" t="s">
        <v>16</v>
      </c>
      <c r="D38">
        <v>35</v>
      </c>
      <c r="E38" s="1">
        <v>45655</v>
      </c>
      <c r="F38" s="1">
        <v>45669</v>
      </c>
      <c r="G38" t="s">
        <v>563</v>
      </c>
      <c r="H38">
        <v>2024</v>
      </c>
      <c r="I38">
        <v>12</v>
      </c>
      <c r="J38">
        <v>4</v>
      </c>
      <c r="K38">
        <v>5</v>
      </c>
      <c r="L38" cm="1">
        <f t="array" ref="L3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9" spans="1:12" x14ac:dyDescent="0.3">
      <c r="A39" t="s">
        <v>599</v>
      </c>
      <c r="B39" t="s">
        <v>404</v>
      </c>
      <c r="C39" t="s">
        <v>19</v>
      </c>
      <c r="D39">
        <v>69</v>
      </c>
      <c r="E39" s="1">
        <v>45656</v>
      </c>
      <c r="F39" s="1">
        <v>45667</v>
      </c>
      <c r="G39" t="s">
        <v>563</v>
      </c>
      <c r="H39">
        <v>2024</v>
      </c>
      <c r="I39">
        <v>12</v>
      </c>
      <c r="J39">
        <v>4</v>
      </c>
      <c r="K39">
        <v>5</v>
      </c>
      <c r="L39" cm="1">
        <f t="array" ref="L3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40" spans="1:12" x14ac:dyDescent="0.3">
      <c r="A40" t="s">
        <v>600</v>
      </c>
      <c r="B40" t="s">
        <v>365</v>
      </c>
      <c r="C40" t="s">
        <v>16</v>
      </c>
      <c r="D40">
        <v>58</v>
      </c>
      <c r="E40" s="1">
        <v>45657</v>
      </c>
      <c r="F40" s="1">
        <v>45667</v>
      </c>
      <c r="G40" t="s">
        <v>563</v>
      </c>
      <c r="H40">
        <v>2024</v>
      </c>
      <c r="I40">
        <v>12</v>
      </c>
      <c r="J40">
        <v>4</v>
      </c>
      <c r="K40">
        <v>5</v>
      </c>
      <c r="L40" cm="1">
        <f t="array" ref="L4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41" spans="1:12" hidden="1" x14ac:dyDescent="0.3">
      <c r="A41" t="s">
        <v>601</v>
      </c>
      <c r="B41" t="s">
        <v>172</v>
      </c>
      <c r="C41" t="s">
        <v>10</v>
      </c>
      <c r="D41">
        <v>20</v>
      </c>
      <c r="E41" s="1">
        <v>45657</v>
      </c>
      <c r="F41" s="1"/>
      <c r="G41" t="s">
        <v>574</v>
      </c>
      <c r="H41">
        <v>2025</v>
      </c>
      <c r="I41">
        <v>1</v>
      </c>
      <c r="J41">
        <v>1</v>
      </c>
      <c r="K41">
        <v>1</v>
      </c>
      <c r="L41" cm="1">
        <f t="array" ref="L4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2" spans="1:12" x14ac:dyDescent="0.3">
      <c r="A42" t="s">
        <v>602</v>
      </c>
      <c r="B42" t="s">
        <v>334</v>
      </c>
      <c r="C42" t="s">
        <v>16</v>
      </c>
      <c r="D42">
        <v>58</v>
      </c>
      <c r="E42" s="1">
        <v>45658</v>
      </c>
      <c r="F42" s="1">
        <v>45672</v>
      </c>
      <c r="G42" t="s">
        <v>563</v>
      </c>
      <c r="H42">
        <v>2025</v>
      </c>
      <c r="I42">
        <v>1</v>
      </c>
      <c r="J42">
        <v>1</v>
      </c>
      <c r="K42">
        <v>1</v>
      </c>
      <c r="L42" cm="1">
        <f t="array" ref="L4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3" spans="1:12" hidden="1" x14ac:dyDescent="0.3">
      <c r="A43" t="s">
        <v>603</v>
      </c>
      <c r="B43" t="s">
        <v>406</v>
      </c>
      <c r="C43" t="s">
        <v>19</v>
      </c>
      <c r="D43">
        <v>14</v>
      </c>
      <c r="E43" s="1">
        <v>45659</v>
      </c>
      <c r="F43" s="1"/>
      <c r="G43" t="s">
        <v>560</v>
      </c>
      <c r="H43">
        <v>2025</v>
      </c>
      <c r="I43">
        <v>1</v>
      </c>
      <c r="J43">
        <v>1</v>
      </c>
      <c r="K43">
        <v>1</v>
      </c>
      <c r="L43" cm="1">
        <f t="array" ref="L4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4" spans="1:12" hidden="1" x14ac:dyDescent="0.3">
      <c r="A44" t="s">
        <v>604</v>
      </c>
      <c r="B44" t="s">
        <v>416</v>
      </c>
      <c r="C44" t="s">
        <v>16</v>
      </c>
      <c r="D44">
        <v>89</v>
      </c>
      <c r="E44" s="1">
        <v>45660</v>
      </c>
      <c r="F44" s="1"/>
      <c r="G44" t="s">
        <v>574</v>
      </c>
      <c r="H44">
        <v>2025</v>
      </c>
      <c r="I44">
        <v>1</v>
      </c>
      <c r="J44">
        <v>1</v>
      </c>
      <c r="K44">
        <v>1</v>
      </c>
      <c r="L44" cm="1">
        <f t="array" ref="L4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5" spans="1:12" hidden="1" x14ac:dyDescent="0.3">
      <c r="A45" t="s">
        <v>605</v>
      </c>
      <c r="B45" t="s">
        <v>524</v>
      </c>
      <c r="C45" t="s">
        <v>19</v>
      </c>
      <c r="D45">
        <v>27</v>
      </c>
      <c r="E45" s="1">
        <v>45662</v>
      </c>
      <c r="F45" s="1"/>
      <c r="G45" t="s">
        <v>574</v>
      </c>
      <c r="H45">
        <v>2025</v>
      </c>
      <c r="I45">
        <v>1</v>
      </c>
      <c r="J45">
        <v>1</v>
      </c>
      <c r="K45">
        <v>1</v>
      </c>
      <c r="L45" cm="1">
        <f t="array" ref="L4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6" spans="1:12" x14ac:dyDescent="0.3">
      <c r="A46" t="s">
        <v>606</v>
      </c>
      <c r="B46" t="s">
        <v>487</v>
      </c>
      <c r="C46" t="s">
        <v>19</v>
      </c>
      <c r="D46">
        <v>40</v>
      </c>
      <c r="E46" s="1">
        <v>45664</v>
      </c>
      <c r="F46" s="1">
        <v>45675</v>
      </c>
      <c r="G46" t="s">
        <v>563</v>
      </c>
      <c r="H46">
        <v>2025</v>
      </c>
      <c r="I46">
        <v>1</v>
      </c>
      <c r="J46">
        <v>1</v>
      </c>
      <c r="K46">
        <v>1</v>
      </c>
      <c r="L46" cm="1">
        <f t="array" ref="L4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7" spans="1:12" hidden="1" x14ac:dyDescent="0.3">
      <c r="A47" t="s">
        <v>607</v>
      </c>
      <c r="B47" t="s">
        <v>395</v>
      </c>
      <c r="C47" t="s">
        <v>22</v>
      </c>
      <c r="D47">
        <v>104</v>
      </c>
      <c r="E47" s="1">
        <v>45665</v>
      </c>
      <c r="F47" s="1"/>
      <c r="G47" t="s">
        <v>560</v>
      </c>
      <c r="H47">
        <v>2025</v>
      </c>
      <c r="I47">
        <v>1</v>
      </c>
      <c r="J47">
        <v>1</v>
      </c>
      <c r="K47">
        <v>2</v>
      </c>
      <c r="L47" cm="1">
        <f t="array" ref="L4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8" spans="1:12" x14ac:dyDescent="0.3">
      <c r="A48" t="s">
        <v>608</v>
      </c>
      <c r="B48" t="s">
        <v>129</v>
      </c>
      <c r="C48" t="s">
        <v>16</v>
      </c>
      <c r="D48">
        <v>17</v>
      </c>
      <c r="E48" s="1">
        <v>45666</v>
      </c>
      <c r="F48" s="1">
        <v>45670</v>
      </c>
      <c r="G48" t="s">
        <v>563</v>
      </c>
      <c r="H48">
        <v>2025</v>
      </c>
      <c r="I48">
        <v>1</v>
      </c>
      <c r="J48">
        <v>1</v>
      </c>
      <c r="K48">
        <v>2</v>
      </c>
      <c r="L48" cm="1">
        <f t="array" ref="L4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9" spans="1:12" x14ac:dyDescent="0.3">
      <c r="A49" t="s">
        <v>609</v>
      </c>
      <c r="B49" t="s">
        <v>314</v>
      </c>
      <c r="C49" t="s">
        <v>19</v>
      </c>
      <c r="D49">
        <v>22</v>
      </c>
      <c r="E49" s="1">
        <v>45667</v>
      </c>
      <c r="F49" s="1">
        <v>45675</v>
      </c>
      <c r="G49" t="s">
        <v>563</v>
      </c>
      <c r="H49">
        <v>2025</v>
      </c>
      <c r="I49">
        <v>1</v>
      </c>
      <c r="J49">
        <v>1</v>
      </c>
      <c r="K49">
        <v>2</v>
      </c>
      <c r="L49" cm="1">
        <f t="array" ref="L4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0" spans="1:12" x14ac:dyDescent="0.3">
      <c r="A50" t="s">
        <v>610</v>
      </c>
      <c r="B50" t="s">
        <v>179</v>
      </c>
      <c r="C50" t="s">
        <v>16</v>
      </c>
      <c r="D50">
        <v>12</v>
      </c>
      <c r="E50" s="1">
        <v>45667</v>
      </c>
      <c r="F50" s="1">
        <v>45671</v>
      </c>
      <c r="G50" t="s">
        <v>563</v>
      </c>
      <c r="H50">
        <v>2025</v>
      </c>
      <c r="I50">
        <v>1</v>
      </c>
      <c r="J50">
        <v>1</v>
      </c>
      <c r="K50">
        <v>2</v>
      </c>
      <c r="L50" cm="1">
        <f t="array" ref="L5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1" spans="1:12" x14ac:dyDescent="0.3">
      <c r="A51" t="s">
        <v>611</v>
      </c>
      <c r="B51" t="s">
        <v>173</v>
      </c>
      <c r="C51" t="s">
        <v>19</v>
      </c>
      <c r="D51">
        <v>14</v>
      </c>
      <c r="E51" s="1">
        <v>45668</v>
      </c>
      <c r="F51" s="1">
        <v>45676</v>
      </c>
      <c r="G51" t="s">
        <v>563</v>
      </c>
      <c r="H51">
        <v>2025</v>
      </c>
      <c r="I51">
        <v>1</v>
      </c>
      <c r="J51">
        <v>1</v>
      </c>
      <c r="K51">
        <v>2</v>
      </c>
      <c r="L51" cm="1">
        <f t="array" ref="L5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2" spans="1:12" hidden="1" x14ac:dyDescent="0.3">
      <c r="A52" t="s">
        <v>612</v>
      </c>
      <c r="B52" t="s">
        <v>469</v>
      </c>
      <c r="C52" t="s">
        <v>10</v>
      </c>
      <c r="D52">
        <v>24</v>
      </c>
      <c r="E52" s="1">
        <v>45668</v>
      </c>
      <c r="F52" s="1"/>
      <c r="G52" t="s">
        <v>574</v>
      </c>
      <c r="H52">
        <v>2025</v>
      </c>
      <c r="I52">
        <v>1</v>
      </c>
      <c r="J52">
        <v>1</v>
      </c>
      <c r="K52">
        <v>2</v>
      </c>
      <c r="L52" cm="1">
        <f t="array" ref="L5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3" spans="1:12" hidden="1" x14ac:dyDescent="0.3">
      <c r="A53" t="s">
        <v>613</v>
      </c>
      <c r="B53" t="s">
        <v>182</v>
      </c>
      <c r="C53" t="s">
        <v>16</v>
      </c>
      <c r="D53">
        <v>50</v>
      </c>
      <c r="E53" s="1">
        <v>45668</v>
      </c>
      <c r="F53" s="1"/>
      <c r="G53" t="s">
        <v>560</v>
      </c>
      <c r="H53">
        <v>2025</v>
      </c>
      <c r="I53">
        <v>1</v>
      </c>
      <c r="J53">
        <v>1</v>
      </c>
      <c r="K53">
        <v>2</v>
      </c>
      <c r="L53" cm="1">
        <f t="array" ref="L5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4" spans="1:12" hidden="1" x14ac:dyDescent="0.3">
      <c r="A54" t="s">
        <v>614</v>
      </c>
      <c r="B54" t="s">
        <v>493</v>
      </c>
      <c r="C54" t="s">
        <v>19</v>
      </c>
      <c r="D54">
        <v>55</v>
      </c>
      <c r="E54" s="1">
        <v>45669</v>
      </c>
      <c r="F54" s="1"/>
      <c r="G54" t="s">
        <v>574</v>
      </c>
      <c r="H54">
        <v>2025</v>
      </c>
      <c r="I54">
        <v>1</v>
      </c>
      <c r="J54">
        <v>1</v>
      </c>
      <c r="K54">
        <v>2</v>
      </c>
      <c r="L54" cm="1">
        <f t="array" ref="L5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5" spans="1:12" x14ac:dyDescent="0.3">
      <c r="A55" t="s">
        <v>615</v>
      </c>
      <c r="B55" t="s">
        <v>275</v>
      </c>
      <c r="C55" t="s">
        <v>29</v>
      </c>
      <c r="D55">
        <v>20</v>
      </c>
      <c r="E55" s="1">
        <v>45670</v>
      </c>
      <c r="F55" s="1">
        <v>45676</v>
      </c>
      <c r="G55" t="s">
        <v>563</v>
      </c>
      <c r="H55">
        <v>2025</v>
      </c>
      <c r="I55">
        <v>1</v>
      </c>
      <c r="J55">
        <v>1</v>
      </c>
      <c r="K55">
        <v>2</v>
      </c>
      <c r="L55" cm="1">
        <f t="array" ref="L5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6" spans="1:12" x14ac:dyDescent="0.3">
      <c r="A56" t="s">
        <v>616</v>
      </c>
      <c r="B56" t="s">
        <v>207</v>
      </c>
      <c r="C56" t="s">
        <v>16</v>
      </c>
      <c r="D56">
        <v>10</v>
      </c>
      <c r="E56" s="1">
        <v>45670</v>
      </c>
      <c r="F56" s="1">
        <v>45684</v>
      </c>
      <c r="G56" t="s">
        <v>563</v>
      </c>
      <c r="H56">
        <v>2025</v>
      </c>
      <c r="I56">
        <v>1</v>
      </c>
      <c r="J56">
        <v>1</v>
      </c>
      <c r="K56">
        <v>2</v>
      </c>
      <c r="L56" cm="1">
        <f t="array" ref="L5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7" spans="1:12" hidden="1" x14ac:dyDescent="0.3">
      <c r="A57" t="s">
        <v>617</v>
      </c>
      <c r="B57" t="s">
        <v>196</v>
      </c>
      <c r="C57" t="s">
        <v>10</v>
      </c>
      <c r="D57">
        <v>74</v>
      </c>
      <c r="E57" s="1">
        <v>45673</v>
      </c>
      <c r="F57" s="1"/>
      <c r="G57" t="s">
        <v>574</v>
      </c>
      <c r="H57">
        <v>2025</v>
      </c>
      <c r="I57">
        <v>1</v>
      </c>
      <c r="J57">
        <v>1</v>
      </c>
      <c r="K57">
        <v>3</v>
      </c>
      <c r="L57" cm="1">
        <f t="array" ref="L5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8" spans="1:12" x14ac:dyDescent="0.3">
      <c r="A58" t="s">
        <v>618</v>
      </c>
      <c r="B58" t="s">
        <v>137</v>
      </c>
      <c r="C58" t="s">
        <v>19</v>
      </c>
      <c r="D58">
        <v>98</v>
      </c>
      <c r="E58" s="1">
        <v>45674</v>
      </c>
      <c r="F58" s="1">
        <v>45678</v>
      </c>
      <c r="G58" t="s">
        <v>563</v>
      </c>
      <c r="H58">
        <v>2025</v>
      </c>
      <c r="I58">
        <v>1</v>
      </c>
      <c r="J58">
        <v>1</v>
      </c>
      <c r="K58">
        <v>3</v>
      </c>
      <c r="L58" cm="1">
        <f t="array" ref="L5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9" spans="1:12" hidden="1" x14ac:dyDescent="0.3">
      <c r="A59" t="s">
        <v>619</v>
      </c>
      <c r="B59" t="s">
        <v>478</v>
      </c>
      <c r="C59" t="s">
        <v>29</v>
      </c>
      <c r="D59">
        <v>79</v>
      </c>
      <c r="E59" s="1">
        <v>45675</v>
      </c>
      <c r="F59" s="1"/>
      <c r="G59" t="s">
        <v>574</v>
      </c>
      <c r="H59">
        <v>2025</v>
      </c>
      <c r="I59">
        <v>1</v>
      </c>
      <c r="J59">
        <v>1</v>
      </c>
      <c r="K59">
        <v>3</v>
      </c>
      <c r="L59" cm="1">
        <f t="array" ref="L5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0" spans="1:12" hidden="1" x14ac:dyDescent="0.3">
      <c r="A60" t="s">
        <v>620</v>
      </c>
      <c r="B60" t="s">
        <v>289</v>
      </c>
      <c r="C60" t="s">
        <v>10</v>
      </c>
      <c r="D60">
        <v>84</v>
      </c>
      <c r="E60" s="1">
        <v>45675</v>
      </c>
      <c r="F60" s="1"/>
      <c r="G60" t="s">
        <v>560</v>
      </c>
      <c r="H60">
        <v>2025</v>
      </c>
      <c r="I60">
        <v>1</v>
      </c>
      <c r="J60">
        <v>1</v>
      </c>
      <c r="K60">
        <v>3</v>
      </c>
      <c r="L60" cm="1">
        <f t="array" ref="L6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1" spans="1:12" hidden="1" x14ac:dyDescent="0.3">
      <c r="A61" t="s">
        <v>621</v>
      </c>
      <c r="B61" t="s">
        <v>129</v>
      </c>
      <c r="C61" t="s">
        <v>16</v>
      </c>
      <c r="D61">
        <v>94</v>
      </c>
      <c r="E61" s="1">
        <v>45675</v>
      </c>
      <c r="F61" s="1"/>
      <c r="G61" t="s">
        <v>560</v>
      </c>
      <c r="H61">
        <v>2025</v>
      </c>
      <c r="I61">
        <v>1</v>
      </c>
      <c r="J61">
        <v>1</v>
      </c>
      <c r="K61">
        <v>3</v>
      </c>
      <c r="L61" cm="1">
        <f t="array" ref="L6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2" spans="1:12" x14ac:dyDescent="0.3">
      <c r="A62" t="s">
        <v>622</v>
      </c>
      <c r="B62" t="s">
        <v>407</v>
      </c>
      <c r="C62" t="s">
        <v>16</v>
      </c>
      <c r="D62">
        <v>21</v>
      </c>
      <c r="E62" s="1">
        <v>45676</v>
      </c>
      <c r="F62" s="1">
        <v>45680</v>
      </c>
      <c r="G62" t="s">
        <v>563</v>
      </c>
      <c r="H62">
        <v>2025</v>
      </c>
      <c r="I62">
        <v>1</v>
      </c>
      <c r="J62">
        <v>1</v>
      </c>
      <c r="K62">
        <v>3</v>
      </c>
      <c r="L62" cm="1">
        <f t="array" ref="L6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3" spans="1:12" x14ac:dyDescent="0.3">
      <c r="A63" t="s">
        <v>623</v>
      </c>
      <c r="B63" t="s">
        <v>280</v>
      </c>
      <c r="C63" t="s">
        <v>19</v>
      </c>
      <c r="D63">
        <v>14</v>
      </c>
      <c r="E63" s="1">
        <v>45676</v>
      </c>
      <c r="F63" s="1">
        <v>45683</v>
      </c>
      <c r="G63" t="s">
        <v>563</v>
      </c>
      <c r="H63">
        <v>2025</v>
      </c>
      <c r="I63">
        <v>1</v>
      </c>
      <c r="J63">
        <v>1</v>
      </c>
      <c r="K63">
        <v>3</v>
      </c>
      <c r="L63" cm="1">
        <f t="array" ref="L6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4" spans="1:12" x14ac:dyDescent="0.3">
      <c r="A64" t="s">
        <v>624</v>
      </c>
      <c r="B64" t="s">
        <v>351</v>
      </c>
      <c r="C64" t="s">
        <v>16</v>
      </c>
      <c r="D64">
        <v>46</v>
      </c>
      <c r="E64" s="1">
        <v>45676</v>
      </c>
      <c r="F64" s="1">
        <v>45683</v>
      </c>
      <c r="G64" t="s">
        <v>563</v>
      </c>
      <c r="H64">
        <v>2025</v>
      </c>
      <c r="I64">
        <v>1</v>
      </c>
      <c r="J64">
        <v>1</v>
      </c>
      <c r="K64">
        <v>3</v>
      </c>
      <c r="L64" cm="1">
        <f t="array" ref="L6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5" spans="1:12" hidden="1" x14ac:dyDescent="0.3">
      <c r="A65" t="s">
        <v>625</v>
      </c>
      <c r="B65" t="s">
        <v>308</v>
      </c>
      <c r="C65" t="s">
        <v>29</v>
      </c>
      <c r="D65">
        <v>75</v>
      </c>
      <c r="E65" s="1">
        <v>45679</v>
      </c>
      <c r="F65" s="1"/>
      <c r="G65" t="s">
        <v>560</v>
      </c>
      <c r="H65">
        <v>2025</v>
      </c>
      <c r="I65">
        <v>1</v>
      </c>
      <c r="J65">
        <v>1</v>
      </c>
      <c r="K65">
        <v>4</v>
      </c>
      <c r="L65" cm="1">
        <f t="array" ref="L6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6" spans="1:12" hidden="1" x14ac:dyDescent="0.3">
      <c r="A66" t="s">
        <v>626</v>
      </c>
      <c r="B66" t="s">
        <v>183</v>
      </c>
      <c r="C66" t="s">
        <v>19</v>
      </c>
      <c r="D66">
        <v>61</v>
      </c>
      <c r="E66" s="1">
        <v>45680</v>
      </c>
      <c r="F66" s="1"/>
      <c r="G66" t="s">
        <v>560</v>
      </c>
      <c r="H66">
        <v>2025</v>
      </c>
      <c r="I66">
        <v>1</v>
      </c>
      <c r="J66">
        <v>1</v>
      </c>
      <c r="K66">
        <v>4</v>
      </c>
      <c r="L66" cm="1">
        <f t="array" ref="L6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7" spans="1:12" hidden="1" x14ac:dyDescent="0.3">
      <c r="A67" t="s">
        <v>627</v>
      </c>
      <c r="B67" t="s">
        <v>395</v>
      </c>
      <c r="C67" t="s">
        <v>22</v>
      </c>
      <c r="D67">
        <v>46</v>
      </c>
      <c r="E67" s="1">
        <v>45682</v>
      </c>
      <c r="F67" s="1"/>
      <c r="G67" t="s">
        <v>560</v>
      </c>
      <c r="H67">
        <v>2025</v>
      </c>
      <c r="I67">
        <v>1</v>
      </c>
      <c r="J67">
        <v>1</v>
      </c>
      <c r="K67">
        <v>4</v>
      </c>
      <c r="L67" cm="1">
        <f t="array" ref="L6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8" spans="1:12" hidden="1" x14ac:dyDescent="0.3">
      <c r="A68" t="s">
        <v>628</v>
      </c>
      <c r="B68" t="s">
        <v>316</v>
      </c>
      <c r="C68" t="s">
        <v>16</v>
      </c>
      <c r="D68">
        <v>76</v>
      </c>
      <c r="E68" s="1">
        <v>45683</v>
      </c>
      <c r="F68" s="1"/>
      <c r="G68" t="s">
        <v>560</v>
      </c>
      <c r="H68">
        <v>2025</v>
      </c>
      <c r="I68">
        <v>1</v>
      </c>
      <c r="J68">
        <v>1</v>
      </c>
      <c r="K68">
        <v>4</v>
      </c>
      <c r="L68" cm="1">
        <f t="array" ref="L6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9" spans="1:12" x14ac:dyDescent="0.3">
      <c r="A69" t="s">
        <v>629</v>
      </c>
      <c r="B69" t="s">
        <v>103</v>
      </c>
      <c r="C69" t="s">
        <v>10</v>
      </c>
      <c r="D69">
        <v>94</v>
      </c>
      <c r="E69" s="1">
        <v>45684</v>
      </c>
      <c r="F69" s="1">
        <v>45695</v>
      </c>
      <c r="G69" t="s">
        <v>563</v>
      </c>
      <c r="H69">
        <v>2025</v>
      </c>
      <c r="I69">
        <v>1</v>
      </c>
      <c r="J69">
        <v>1</v>
      </c>
      <c r="K69">
        <v>4</v>
      </c>
      <c r="L69" cm="1">
        <f t="array" ref="L6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0" spans="1:12" x14ac:dyDescent="0.3">
      <c r="A70" t="s">
        <v>630</v>
      </c>
      <c r="B70" t="s">
        <v>439</v>
      </c>
      <c r="C70" t="s">
        <v>10</v>
      </c>
      <c r="D70">
        <v>96</v>
      </c>
      <c r="E70" s="1">
        <v>45684</v>
      </c>
      <c r="F70" s="1">
        <v>45689</v>
      </c>
      <c r="G70" t="s">
        <v>563</v>
      </c>
      <c r="H70">
        <v>2025</v>
      </c>
      <c r="I70">
        <v>1</v>
      </c>
      <c r="J70">
        <v>1</v>
      </c>
      <c r="K70">
        <v>4</v>
      </c>
      <c r="L70" cm="1">
        <f t="array" ref="L7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1" spans="1:12" x14ac:dyDescent="0.3">
      <c r="A71" t="s">
        <v>631</v>
      </c>
      <c r="B71" t="s">
        <v>272</v>
      </c>
      <c r="C71" t="s">
        <v>16</v>
      </c>
      <c r="D71">
        <v>56</v>
      </c>
      <c r="E71" s="1">
        <v>45684</v>
      </c>
      <c r="F71" s="1">
        <v>45696</v>
      </c>
      <c r="G71" t="s">
        <v>563</v>
      </c>
      <c r="H71">
        <v>2025</v>
      </c>
      <c r="I71">
        <v>1</v>
      </c>
      <c r="J71">
        <v>1</v>
      </c>
      <c r="K71">
        <v>4</v>
      </c>
      <c r="L71" cm="1">
        <f t="array" ref="L7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2" spans="1:12" hidden="1" x14ac:dyDescent="0.3">
      <c r="A72" t="s">
        <v>632</v>
      </c>
      <c r="B72" t="s">
        <v>476</v>
      </c>
      <c r="C72" t="s">
        <v>19</v>
      </c>
      <c r="D72">
        <v>47</v>
      </c>
      <c r="E72" s="1">
        <v>45684</v>
      </c>
      <c r="F72" s="1"/>
      <c r="G72" t="s">
        <v>574</v>
      </c>
      <c r="H72">
        <v>2025</v>
      </c>
      <c r="I72">
        <v>1</v>
      </c>
      <c r="J72">
        <v>1</v>
      </c>
      <c r="K72">
        <v>4</v>
      </c>
      <c r="L72" cm="1">
        <f t="array" ref="L7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3" spans="1:12" x14ac:dyDescent="0.3">
      <c r="A73" t="s">
        <v>633</v>
      </c>
      <c r="B73" t="s">
        <v>226</v>
      </c>
      <c r="C73" t="s">
        <v>29</v>
      </c>
      <c r="D73">
        <v>35</v>
      </c>
      <c r="E73" s="1">
        <v>45686</v>
      </c>
      <c r="F73" s="1">
        <v>45697</v>
      </c>
      <c r="G73" t="s">
        <v>563</v>
      </c>
      <c r="H73">
        <v>2025</v>
      </c>
      <c r="I73">
        <v>1</v>
      </c>
      <c r="J73">
        <v>1</v>
      </c>
      <c r="K73">
        <v>5</v>
      </c>
      <c r="L73" cm="1">
        <f t="array" ref="L7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4" spans="1:12" x14ac:dyDescent="0.3">
      <c r="A74" t="s">
        <v>634</v>
      </c>
      <c r="B74" t="s">
        <v>241</v>
      </c>
      <c r="C74" t="s">
        <v>10</v>
      </c>
      <c r="D74">
        <v>72</v>
      </c>
      <c r="E74" s="1">
        <v>45687</v>
      </c>
      <c r="F74" s="1">
        <v>45700</v>
      </c>
      <c r="G74" t="s">
        <v>563</v>
      </c>
      <c r="H74">
        <v>2025</v>
      </c>
      <c r="I74">
        <v>1</v>
      </c>
      <c r="J74">
        <v>1</v>
      </c>
      <c r="K74">
        <v>5</v>
      </c>
      <c r="L74" cm="1">
        <f t="array" ref="L7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5" spans="1:12" x14ac:dyDescent="0.3">
      <c r="A75" t="s">
        <v>635</v>
      </c>
      <c r="B75" t="s">
        <v>249</v>
      </c>
      <c r="C75" t="s">
        <v>16</v>
      </c>
      <c r="D75">
        <v>31</v>
      </c>
      <c r="E75" s="1">
        <v>45688</v>
      </c>
      <c r="F75" s="1">
        <v>45700</v>
      </c>
      <c r="G75" t="s">
        <v>563</v>
      </c>
      <c r="H75">
        <v>2025</v>
      </c>
      <c r="I75">
        <v>1</v>
      </c>
      <c r="J75">
        <v>1</v>
      </c>
      <c r="K75">
        <v>5</v>
      </c>
      <c r="L75" cm="1">
        <f t="array" ref="L7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6" spans="1:12" hidden="1" x14ac:dyDescent="0.3">
      <c r="A76" t="s">
        <v>636</v>
      </c>
      <c r="B76" t="s">
        <v>87</v>
      </c>
      <c r="C76" t="s">
        <v>16</v>
      </c>
      <c r="D76">
        <v>58</v>
      </c>
      <c r="E76" s="1">
        <v>45691</v>
      </c>
      <c r="F76" s="1"/>
      <c r="G76" t="s">
        <v>574</v>
      </c>
      <c r="H76">
        <v>2025</v>
      </c>
      <c r="I76">
        <v>2</v>
      </c>
      <c r="J76">
        <v>1</v>
      </c>
      <c r="K76">
        <v>1</v>
      </c>
      <c r="L76" cm="1">
        <f t="array" ref="L7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77" spans="1:12" x14ac:dyDescent="0.3">
      <c r="A77" t="s">
        <v>637</v>
      </c>
      <c r="B77" t="s">
        <v>220</v>
      </c>
      <c r="C77" t="s">
        <v>22</v>
      </c>
      <c r="D77">
        <v>39</v>
      </c>
      <c r="E77" s="1">
        <v>45691</v>
      </c>
      <c r="F77" s="1">
        <v>45705</v>
      </c>
      <c r="G77" t="s">
        <v>563</v>
      </c>
      <c r="H77">
        <v>2025</v>
      </c>
      <c r="I77">
        <v>2</v>
      </c>
      <c r="J77">
        <v>1</v>
      </c>
      <c r="K77">
        <v>1</v>
      </c>
      <c r="L77" cm="1">
        <f t="array" ref="L7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78" spans="1:12" hidden="1" x14ac:dyDescent="0.3">
      <c r="A78" t="s">
        <v>638</v>
      </c>
      <c r="B78" t="s">
        <v>66</v>
      </c>
      <c r="C78" t="s">
        <v>16</v>
      </c>
      <c r="D78">
        <v>26</v>
      </c>
      <c r="E78" s="1">
        <v>45692</v>
      </c>
      <c r="F78" s="1"/>
      <c r="G78" t="s">
        <v>574</v>
      </c>
      <c r="H78">
        <v>2025</v>
      </c>
      <c r="I78">
        <v>2</v>
      </c>
      <c r="J78">
        <v>1</v>
      </c>
      <c r="K78">
        <v>1</v>
      </c>
      <c r="L78" cm="1">
        <f t="array" ref="L7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79" spans="1:12" hidden="1" x14ac:dyDescent="0.3">
      <c r="A79" t="s">
        <v>639</v>
      </c>
      <c r="B79" t="s">
        <v>149</v>
      </c>
      <c r="C79" t="s">
        <v>19</v>
      </c>
      <c r="D79">
        <v>55</v>
      </c>
      <c r="E79" s="1">
        <v>45693</v>
      </c>
      <c r="F79" s="1"/>
      <c r="G79" t="s">
        <v>560</v>
      </c>
      <c r="H79">
        <v>2025</v>
      </c>
      <c r="I79">
        <v>2</v>
      </c>
      <c r="J79">
        <v>1</v>
      </c>
      <c r="K79">
        <v>1</v>
      </c>
      <c r="L79" cm="1">
        <f t="array" ref="L7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0" spans="1:12" hidden="1" x14ac:dyDescent="0.3">
      <c r="A80" t="s">
        <v>640</v>
      </c>
      <c r="B80" t="s">
        <v>392</v>
      </c>
      <c r="C80" t="s">
        <v>29</v>
      </c>
      <c r="D80">
        <v>55</v>
      </c>
      <c r="E80" s="1">
        <v>45696</v>
      </c>
      <c r="F80" s="1"/>
      <c r="G80" t="s">
        <v>574</v>
      </c>
      <c r="H80">
        <v>2025</v>
      </c>
      <c r="I80">
        <v>2</v>
      </c>
      <c r="J80">
        <v>1</v>
      </c>
      <c r="K80">
        <v>2</v>
      </c>
      <c r="L80" cm="1">
        <f t="array" ref="L8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1" spans="1:12" hidden="1" x14ac:dyDescent="0.3">
      <c r="A81" t="s">
        <v>641</v>
      </c>
      <c r="B81" t="s">
        <v>217</v>
      </c>
      <c r="C81" t="s">
        <v>10</v>
      </c>
      <c r="D81">
        <v>37</v>
      </c>
      <c r="E81" s="1">
        <v>45696</v>
      </c>
      <c r="F81" s="1"/>
      <c r="G81" t="s">
        <v>560</v>
      </c>
      <c r="H81">
        <v>2025</v>
      </c>
      <c r="I81">
        <v>2</v>
      </c>
      <c r="J81">
        <v>1</v>
      </c>
      <c r="K81">
        <v>2</v>
      </c>
      <c r="L81" cm="1">
        <f t="array" ref="L8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2" spans="1:12" x14ac:dyDescent="0.3">
      <c r="A82" t="s">
        <v>642</v>
      </c>
      <c r="B82" t="s">
        <v>425</v>
      </c>
      <c r="C82" t="s">
        <v>10</v>
      </c>
      <c r="D82">
        <v>70</v>
      </c>
      <c r="E82" s="1">
        <v>45697</v>
      </c>
      <c r="F82" s="1">
        <v>45708</v>
      </c>
      <c r="G82" t="s">
        <v>563</v>
      </c>
      <c r="H82">
        <v>2025</v>
      </c>
      <c r="I82">
        <v>2</v>
      </c>
      <c r="J82">
        <v>1</v>
      </c>
      <c r="K82">
        <v>2</v>
      </c>
      <c r="L82" cm="1">
        <f t="array" ref="L8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3" spans="1:12" hidden="1" x14ac:dyDescent="0.3">
      <c r="A83" t="s">
        <v>643</v>
      </c>
      <c r="B83" t="s">
        <v>280</v>
      </c>
      <c r="C83" t="s">
        <v>16</v>
      </c>
      <c r="D83">
        <v>29</v>
      </c>
      <c r="E83" s="1">
        <v>45697</v>
      </c>
      <c r="F83" s="1"/>
      <c r="G83" t="s">
        <v>574</v>
      </c>
      <c r="H83">
        <v>2025</v>
      </c>
      <c r="I83">
        <v>2</v>
      </c>
      <c r="J83">
        <v>1</v>
      </c>
      <c r="K83">
        <v>2</v>
      </c>
      <c r="L83" cm="1">
        <f t="array" ref="L8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4" spans="1:12" hidden="1" x14ac:dyDescent="0.3">
      <c r="A84" t="s">
        <v>644</v>
      </c>
      <c r="B84" t="s">
        <v>222</v>
      </c>
      <c r="C84" t="s">
        <v>10</v>
      </c>
      <c r="D84">
        <v>20</v>
      </c>
      <c r="E84" s="1">
        <v>45698</v>
      </c>
      <c r="F84" s="1"/>
      <c r="G84" t="s">
        <v>574</v>
      </c>
      <c r="H84">
        <v>2025</v>
      </c>
      <c r="I84">
        <v>2</v>
      </c>
      <c r="J84">
        <v>1</v>
      </c>
      <c r="K84">
        <v>2</v>
      </c>
      <c r="L84" cm="1">
        <f t="array" ref="L8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5" spans="1:12" x14ac:dyDescent="0.3">
      <c r="A85" t="s">
        <v>645</v>
      </c>
      <c r="B85" t="s">
        <v>388</v>
      </c>
      <c r="C85" t="s">
        <v>22</v>
      </c>
      <c r="D85">
        <v>52</v>
      </c>
      <c r="E85" s="1">
        <v>45699</v>
      </c>
      <c r="F85" s="1">
        <v>45708</v>
      </c>
      <c r="G85" t="s">
        <v>563</v>
      </c>
      <c r="H85">
        <v>2025</v>
      </c>
      <c r="I85">
        <v>2</v>
      </c>
      <c r="J85">
        <v>1</v>
      </c>
      <c r="K85">
        <v>2</v>
      </c>
      <c r="L85" cm="1">
        <f t="array" ref="L8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6" spans="1:12" hidden="1" x14ac:dyDescent="0.3">
      <c r="A86" t="s">
        <v>646</v>
      </c>
      <c r="B86" t="s">
        <v>174</v>
      </c>
      <c r="C86" t="s">
        <v>19</v>
      </c>
      <c r="D86">
        <v>36</v>
      </c>
      <c r="E86" s="1">
        <v>45699</v>
      </c>
      <c r="F86" s="1"/>
      <c r="G86" t="s">
        <v>574</v>
      </c>
      <c r="H86">
        <v>2025</v>
      </c>
      <c r="I86">
        <v>2</v>
      </c>
      <c r="J86">
        <v>1</v>
      </c>
      <c r="K86">
        <v>2</v>
      </c>
      <c r="L86" cm="1">
        <f t="array" ref="L8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7" spans="1:12" hidden="1" x14ac:dyDescent="0.3">
      <c r="A87" t="s">
        <v>647</v>
      </c>
      <c r="B87" t="s">
        <v>367</v>
      </c>
      <c r="C87" t="s">
        <v>22</v>
      </c>
      <c r="D87">
        <v>105</v>
      </c>
      <c r="E87" s="1">
        <v>45700</v>
      </c>
      <c r="F87" s="1"/>
      <c r="G87" t="s">
        <v>560</v>
      </c>
      <c r="H87">
        <v>2025</v>
      </c>
      <c r="I87">
        <v>2</v>
      </c>
      <c r="J87">
        <v>1</v>
      </c>
      <c r="K87">
        <v>2</v>
      </c>
      <c r="L87" cm="1">
        <f t="array" ref="L8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8" spans="1:12" hidden="1" x14ac:dyDescent="0.3">
      <c r="A88" t="s">
        <v>648</v>
      </c>
      <c r="B88" t="s">
        <v>365</v>
      </c>
      <c r="C88" t="s">
        <v>16</v>
      </c>
      <c r="D88">
        <v>88</v>
      </c>
      <c r="E88" s="1">
        <v>45701</v>
      </c>
      <c r="F88" s="1"/>
      <c r="G88" t="s">
        <v>560</v>
      </c>
      <c r="H88">
        <v>2025</v>
      </c>
      <c r="I88">
        <v>2</v>
      </c>
      <c r="J88">
        <v>1</v>
      </c>
      <c r="K88">
        <v>2</v>
      </c>
      <c r="L88" cm="1">
        <f t="array" ref="L8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9" spans="1:12" x14ac:dyDescent="0.3">
      <c r="A89" t="s">
        <v>649</v>
      </c>
      <c r="B89" t="s">
        <v>149</v>
      </c>
      <c r="C89" t="s">
        <v>29</v>
      </c>
      <c r="D89">
        <v>39</v>
      </c>
      <c r="E89" s="1">
        <v>45701</v>
      </c>
      <c r="F89" s="1">
        <v>45712</v>
      </c>
      <c r="G89" t="s">
        <v>563</v>
      </c>
      <c r="H89">
        <v>2025</v>
      </c>
      <c r="I89">
        <v>2</v>
      </c>
      <c r="J89">
        <v>1</v>
      </c>
      <c r="K89">
        <v>2</v>
      </c>
      <c r="L89" cm="1">
        <f t="array" ref="L8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0" spans="1:12" hidden="1" x14ac:dyDescent="0.3">
      <c r="A90" t="s">
        <v>650</v>
      </c>
      <c r="B90" t="s">
        <v>364</v>
      </c>
      <c r="C90" t="s">
        <v>16</v>
      </c>
      <c r="D90">
        <v>63</v>
      </c>
      <c r="E90" s="1">
        <v>45703</v>
      </c>
      <c r="F90" s="1"/>
      <c r="G90" t="s">
        <v>574</v>
      </c>
      <c r="H90">
        <v>2025</v>
      </c>
      <c r="I90">
        <v>2</v>
      </c>
      <c r="J90">
        <v>1</v>
      </c>
      <c r="K90">
        <v>3</v>
      </c>
      <c r="L90" cm="1">
        <f t="array" ref="L9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1" spans="1:12" hidden="1" x14ac:dyDescent="0.3">
      <c r="A91" t="s">
        <v>651</v>
      </c>
      <c r="B91" t="s">
        <v>429</v>
      </c>
      <c r="C91" t="s">
        <v>22</v>
      </c>
      <c r="D91">
        <v>27</v>
      </c>
      <c r="E91" s="1">
        <v>45703</v>
      </c>
      <c r="F91" s="1"/>
      <c r="G91" t="s">
        <v>574</v>
      </c>
      <c r="H91">
        <v>2025</v>
      </c>
      <c r="I91">
        <v>2</v>
      </c>
      <c r="J91">
        <v>1</v>
      </c>
      <c r="K91">
        <v>3</v>
      </c>
      <c r="L91" cm="1">
        <f t="array" ref="L9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2" spans="1:12" x14ac:dyDescent="0.3">
      <c r="A92" t="s">
        <v>652</v>
      </c>
      <c r="B92" t="s">
        <v>456</v>
      </c>
      <c r="C92" t="s">
        <v>29</v>
      </c>
      <c r="D92">
        <v>20</v>
      </c>
      <c r="E92" s="1">
        <v>45705</v>
      </c>
      <c r="F92" s="1">
        <v>45708</v>
      </c>
      <c r="G92" t="s">
        <v>563</v>
      </c>
      <c r="H92">
        <v>2025</v>
      </c>
      <c r="I92">
        <v>2</v>
      </c>
      <c r="J92">
        <v>1</v>
      </c>
      <c r="K92">
        <v>3</v>
      </c>
      <c r="L92" cm="1">
        <f t="array" ref="L9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3" spans="1:12" x14ac:dyDescent="0.3">
      <c r="A93" t="s">
        <v>653</v>
      </c>
      <c r="B93" t="s">
        <v>349</v>
      </c>
      <c r="C93" t="s">
        <v>22</v>
      </c>
      <c r="D93">
        <v>25</v>
      </c>
      <c r="E93" s="1">
        <v>45705</v>
      </c>
      <c r="F93" s="1">
        <v>45713</v>
      </c>
      <c r="G93" t="s">
        <v>563</v>
      </c>
      <c r="H93">
        <v>2025</v>
      </c>
      <c r="I93">
        <v>2</v>
      </c>
      <c r="J93">
        <v>1</v>
      </c>
      <c r="K93">
        <v>3</v>
      </c>
      <c r="L93" cm="1">
        <f t="array" ref="L9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4" spans="1:12" hidden="1" x14ac:dyDescent="0.3">
      <c r="A94" t="s">
        <v>654</v>
      </c>
      <c r="B94" t="s">
        <v>95</v>
      </c>
      <c r="C94" t="s">
        <v>22</v>
      </c>
      <c r="D94">
        <v>104</v>
      </c>
      <c r="E94" s="1">
        <v>45705</v>
      </c>
      <c r="F94" s="1"/>
      <c r="G94" t="s">
        <v>574</v>
      </c>
      <c r="H94">
        <v>2025</v>
      </c>
      <c r="I94">
        <v>2</v>
      </c>
      <c r="J94">
        <v>1</v>
      </c>
      <c r="K94">
        <v>3</v>
      </c>
      <c r="L94" cm="1">
        <f t="array" ref="L9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5" spans="1:12" hidden="1" x14ac:dyDescent="0.3">
      <c r="A95" t="s">
        <v>655</v>
      </c>
      <c r="B95" t="s">
        <v>238</v>
      </c>
      <c r="C95" t="s">
        <v>19</v>
      </c>
      <c r="D95">
        <v>55</v>
      </c>
      <c r="E95" s="1">
        <v>45709</v>
      </c>
      <c r="F95" s="1"/>
      <c r="G95" t="s">
        <v>574</v>
      </c>
      <c r="H95">
        <v>2025</v>
      </c>
      <c r="I95">
        <v>2</v>
      </c>
      <c r="J95">
        <v>1</v>
      </c>
      <c r="K95">
        <v>3</v>
      </c>
      <c r="L95" cm="1">
        <f t="array" ref="L9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6" spans="1:12" hidden="1" x14ac:dyDescent="0.3">
      <c r="A96" t="s">
        <v>656</v>
      </c>
      <c r="B96" t="s">
        <v>141</v>
      </c>
      <c r="C96" t="s">
        <v>10</v>
      </c>
      <c r="D96">
        <v>13</v>
      </c>
      <c r="E96" s="1">
        <v>45709</v>
      </c>
      <c r="F96" s="1"/>
      <c r="G96" t="s">
        <v>560</v>
      </c>
      <c r="H96">
        <v>2025</v>
      </c>
      <c r="I96">
        <v>2</v>
      </c>
      <c r="J96">
        <v>1</v>
      </c>
      <c r="K96">
        <v>3</v>
      </c>
      <c r="L96" cm="1">
        <f t="array" ref="L9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7" spans="1:12" hidden="1" x14ac:dyDescent="0.3">
      <c r="A97" t="s">
        <v>657</v>
      </c>
      <c r="B97" t="s">
        <v>163</v>
      </c>
      <c r="C97" t="s">
        <v>10</v>
      </c>
      <c r="D97">
        <v>85</v>
      </c>
      <c r="E97" s="1">
        <v>45709</v>
      </c>
      <c r="F97" s="1"/>
      <c r="G97" t="s">
        <v>560</v>
      </c>
      <c r="H97">
        <v>2025</v>
      </c>
      <c r="I97">
        <v>2</v>
      </c>
      <c r="J97">
        <v>1</v>
      </c>
      <c r="K97">
        <v>3</v>
      </c>
      <c r="L97" cm="1">
        <f t="array" ref="L9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8" spans="1:12" x14ac:dyDescent="0.3">
      <c r="A98" t="s">
        <v>658</v>
      </c>
      <c r="B98" t="s">
        <v>234</v>
      </c>
      <c r="C98" t="s">
        <v>19</v>
      </c>
      <c r="D98">
        <v>54</v>
      </c>
      <c r="E98" s="1">
        <v>45710</v>
      </c>
      <c r="F98" s="1">
        <v>45715</v>
      </c>
      <c r="G98" t="s">
        <v>563</v>
      </c>
      <c r="H98">
        <v>2025</v>
      </c>
      <c r="I98">
        <v>2</v>
      </c>
      <c r="J98">
        <v>1</v>
      </c>
      <c r="K98">
        <v>4</v>
      </c>
      <c r="L98" cm="1">
        <f t="array" ref="L9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9" spans="1:12" x14ac:dyDescent="0.3">
      <c r="A99" t="s">
        <v>659</v>
      </c>
      <c r="B99" t="s">
        <v>504</v>
      </c>
      <c r="C99" t="s">
        <v>16</v>
      </c>
      <c r="D99">
        <v>90</v>
      </c>
      <c r="E99" s="1">
        <v>45711</v>
      </c>
      <c r="F99" s="1">
        <v>45722</v>
      </c>
      <c r="G99" t="s">
        <v>563</v>
      </c>
      <c r="H99">
        <v>2025</v>
      </c>
      <c r="I99">
        <v>2</v>
      </c>
      <c r="J99">
        <v>1</v>
      </c>
      <c r="K99">
        <v>4</v>
      </c>
      <c r="L99" cm="1">
        <f t="array" ref="L9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0" spans="1:12" x14ac:dyDescent="0.3">
      <c r="A100" t="s">
        <v>660</v>
      </c>
      <c r="B100" t="s">
        <v>207</v>
      </c>
      <c r="C100" t="s">
        <v>22</v>
      </c>
      <c r="D100">
        <v>108</v>
      </c>
      <c r="E100" s="1">
        <v>45711</v>
      </c>
      <c r="F100" s="1">
        <v>45724</v>
      </c>
      <c r="G100" t="s">
        <v>563</v>
      </c>
      <c r="H100">
        <v>2025</v>
      </c>
      <c r="I100">
        <v>2</v>
      </c>
      <c r="J100">
        <v>1</v>
      </c>
      <c r="K100">
        <v>4</v>
      </c>
      <c r="L100" cm="1">
        <f t="array" ref="L10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1" spans="1:12" hidden="1" x14ac:dyDescent="0.3">
      <c r="A101" t="s">
        <v>661</v>
      </c>
      <c r="B101" t="s">
        <v>397</v>
      </c>
      <c r="C101" t="s">
        <v>16</v>
      </c>
      <c r="D101">
        <v>101</v>
      </c>
      <c r="E101" s="1">
        <v>45712</v>
      </c>
      <c r="F101" s="1"/>
      <c r="G101" t="s">
        <v>574</v>
      </c>
      <c r="H101">
        <v>2025</v>
      </c>
      <c r="I101">
        <v>2</v>
      </c>
      <c r="J101">
        <v>1</v>
      </c>
      <c r="K101">
        <v>4</v>
      </c>
      <c r="L101" cm="1">
        <f t="array" ref="L10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2" spans="1:12" x14ac:dyDescent="0.3">
      <c r="A102" t="s">
        <v>662</v>
      </c>
      <c r="B102" t="s">
        <v>467</v>
      </c>
      <c r="C102" t="s">
        <v>16</v>
      </c>
      <c r="D102">
        <v>18</v>
      </c>
      <c r="E102" s="1">
        <v>45713</v>
      </c>
      <c r="F102" s="1">
        <v>45725</v>
      </c>
      <c r="G102" t="s">
        <v>563</v>
      </c>
      <c r="H102">
        <v>2025</v>
      </c>
      <c r="I102">
        <v>2</v>
      </c>
      <c r="J102">
        <v>1</v>
      </c>
      <c r="K102">
        <v>4</v>
      </c>
      <c r="L102" cm="1">
        <f t="array" ref="L10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3" spans="1:12" x14ac:dyDescent="0.3">
      <c r="A103" t="s">
        <v>663</v>
      </c>
      <c r="B103" t="s">
        <v>409</v>
      </c>
      <c r="C103" t="s">
        <v>22</v>
      </c>
      <c r="D103">
        <v>46</v>
      </c>
      <c r="E103" s="1">
        <v>45715</v>
      </c>
      <c r="F103" s="1">
        <v>45727</v>
      </c>
      <c r="G103" t="s">
        <v>563</v>
      </c>
      <c r="H103">
        <v>2025</v>
      </c>
      <c r="I103">
        <v>2</v>
      </c>
      <c r="J103">
        <v>1</v>
      </c>
      <c r="K103">
        <v>4</v>
      </c>
      <c r="L103" cm="1">
        <f t="array" ref="L10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4" spans="1:12" hidden="1" x14ac:dyDescent="0.3">
      <c r="A104" t="s">
        <v>664</v>
      </c>
      <c r="B104" t="s">
        <v>358</v>
      </c>
      <c r="C104" t="s">
        <v>22</v>
      </c>
      <c r="D104">
        <v>33</v>
      </c>
      <c r="E104" s="1">
        <v>45715</v>
      </c>
      <c r="F104" s="1"/>
      <c r="G104" t="s">
        <v>560</v>
      </c>
      <c r="H104">
        <v>2025</v>
      </c>
      <c r="I104">
        <v>2</v>
      </c>
      <c r="J104">
        <v>1</v>
      </c>
      <c r="K104">
        <v>4</v>
      </c>
      <c r="L104" cm="1">
        <f t="array" ref="L10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5" spans="1:12" hidden="1" x14ac:dyDescent="0.3">
      <c r="A105" t="s">
        <v>665</v>
      </c>
      <c r="B105" t="s">
        <v>442</v>
      </c>
      <c r="C105" t="s">
        <v>10</v>
      </c>
      <c r="D105">
        <v>28</v>
      </c>
      <c r="E105" s="1">
        <v>45716</v>
      </c>
      <c r="F105" s="1"/>
      <c r="G105" t="s">
        <v>560</v>
      </c>
      <c r="H105">
        <v>2025</v>
      </c>
      <c r="I105">
        <v>2</v>
      </c>
      <c r="J105">
        <v>1</v>
      </c>
      <c r="K105">
        <v>4</v>
      </c>
      <c r="L105" cm="1">
        <f t="array" ref="L10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6" spans="1:12" x14ac:dyDescent="0.3">
      <c r="A106" t="s">
        <v>666</v>
      </c>
      <c r="B106" t="s">
        <v>498</v>
      </c>
      <c r="C106" t="s">
        <v>16</v>
      </c>
      <c r="D106">
        <v>89</v>
      </c>
      <c r="E106" s="1">
        <v>45717</v>
      </c>
      <c r="F106" s="1">
        <v>45720</v>
      </c>
      <c r="G106" t="s">
        <v>563</v>
      </c>
      <c r="H106">
        <v>2025</v>
      </c>
      <c r="I106">
        <v>3</v>
      </c>
      <c r="J106">
        <v>1</v>
      </c>
      <c r="K106">
        <v>1</v>
      </c>
      <c r="L106" cm="1">
        <f t="array" ref="L10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07" spans="1:12" x14ac:dyDescent="0.3">
      <c r="A107" t="s">
        <v>667</v>
      </c>
      <c r="B107" t="s">
        <v>429</v>
      </c>
      <c r="C107" t="s">
        <v>19</v>
      </c>
      <c r="D107">
        <v>47</v>
      </c>
      <c r="E107" s="1">
        <v>45717</v>
      </c>
      <c r="F107" s="1">
        <v>45731</v>
      </c>
      <c r="G107" t="s">
        <v>563</v>
      </c>
      <c r="H107">
        <v>2025</v>
      </c>
      <c r="I107">
        <v>3</v>
      </c>
      <c r="J107">
        <v>1</v>
      </c>
      <c r="K107">
        <v>1</v>
      </c>
      <c r="L107" cm="1">
        <f t="array" ref="L10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08" spans="1:12" hidden="1" x14ac:dyDescent="0.3">
      <c r="A108" t="s">
        <v>668</v>
      </c>
      <c r="B108" t="s">
        <v>310</v>
      </c>
      <c r="C108" t="s">
        <v>10</v>
      </c>
      <c r="D108">
        <v>95</v>
      </c>
      <c r="E108" s="1">
        <v>45718</v>
      </c>
      <c r="F108" s="1"/>
      <c r="G108" t="s">
        <v>574</v>
      </c>
      <c r="H108">
        <v>2025</v>
      </c>
      <c r="I108">
        <v>3</v>
      </c>
      <c r="J108">
        <v>1</v>
      </c>
      <c r="K108">
        <v>1</v>
      </c>
      <c r="L108" cm="1">
        <f t="array" ref="L10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09" spans="1:12" x14ac:dyDescent="0.3">
      <c r="A109" t="s">
        <v>669</v>
      </c>
      <c r="B109" t="s">
        <v>483</v>
      </c>
      <c r="C109" t="s">
        <v>10</v>
      </c>
      <c r="D109">
        <v>72</v>
      </c>
      <c r="E109" s="1">
        <v>45719</v>
      </c>
      <c r="F109" s="1">
        <v>45733</v>
      </c>
      <c r="G109" t="s">
        <v>563</v>
      </c>
      <c r="H109">
        <v>2025</v>
      </c>
      <c r="I109">
        <v>3</v>
      </c>
      <c r="J109">
        <v>1</v>
      </c>
      <c r="K109">
        <v>1</v>
      </c>
      <c r="L109" cm="1">
        <f t="array" ref="L10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0" spans="1:12" x14ac:dyDescent="0.3">
      <c r="A110" t="s">
        <v>670</v>
      </c>
      <c r="B110" t="s">
        <v>213</v>
      </c>
      <c r="C110" t="s">
        <v>22</v>
      </c>
      <c r="D110">
        <v>41</v>
      </c>
      <c r="E110" s="1">
        <v>45720</v>
      </c>
      <c r="F110" s="1">
        <v>45723</v>
      </c>
      <c r="G110" t="s">
        <v>563</v>
      </c>
      <c r="H110">
        <v>2025</v>
      </c>
      <c r="I110">
        <v>3</v>
      </c>
      <c r="J110">
        <v>1</v>
      </c>
      <c r="K110">
        <v>1</v>
      </c>
      <c r="L110" cm="1">
        <f t="array" ref="L11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1" spans="1:12" x14ac:dyDescent="0.3">
      <c r="A111" t="s">
        <v>671</v>
      </c>
      <c r="B111" t="s">
        <v>356</v>
      </c>
      <c r="C111" t="s">
        <v>16</v>
      </c>
      <c r="D111">
        <v>22</v>
      </c>
      <c r="E111" s="1">
        <v>45721</v>
      </c>
      <c r="F111" s="1">
        <v>45728</v>
      </c>
      <c r="G111" t="s">
        <v>563</v>
      </c>
      <c r="H111">
        <v>2025</v>
      </c>
      <c r="I111">
        <v>3</v>
      </c>
      <c r="J111">
        <v>1</v>
      </c>
      <c r="K111">
        <v>1</v>
      </c>
      <c r="L111" cm="1">
        <f t="array" ref="L11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2" spans="1:12" hidden="1" x14ac:dyDescent="0.3">
      <c r="A112" t="s">
        <v>672</v>
      </c>
      <c r="B112" t="s">
        <v>356</v>
      </c>
      <c r="C112" t="s">
        <v>10</v>
      </c>
      <c r="D112">
        <v>54</v>
      </c>
      <c r="E112" s="1">
        <v>45721</v>
      </c>
      <c r="F112" s="1"/>
      <c r="G112" t="s">
        <v>574</v>
      </c>
      <c r="H112">
        <v>2025</v>
      </c>
      <c r="I112">
        <v>3</v>
      </c>
      <c r="J112">
        <v>1</v>
      </c>
      <c r="K112">
        <v>1</v>
      </c>
      <c r="L112" cm="1">
        <f t="array" ref="L11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3" spans="1:12" x14ac:dyDescent="0.3">
      <c r="A113" t="s">
        <v>673</v>
      </c>
      <c r="B113" t="s">
        <v>323</v>
      </c>
      <c r="C113" t="s">
        <v>19</v>
      </c>
      <c r="D113">
        <v>31</v>
      </c>
      <c r="E113" s="1">
        <v>45722</v>
      </c>
      <c r="F113" s="1">
        <v>45732</v>
      </c>
      <c r="G113" t="s">
        <v>563</v>
      </c>
      <c r="H113">
        <v>2025</v>
      </c>
      <c r="I113">
        <v>3</v>
      </c>
      <c r="J113">
        <v>1</v>
      </c>
      <c r="K113">
        <v>1</v>
      </c>
      <c r="L113" cm="1">
        <f t="array" ref="L11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4" spans="1:12" hidden="1" x14ac:dyDescent="0.3">
      <c r="A114" t="s">
        <v>674</v>
      </c>
      <c r="B114" t="s">
        <v>433</v>
      </c>
      <c r="C114" t="s">
        <v>19</v>
      </c>
      <c r="D114">
        <v>107</v>
      </c>
      <c r="E114" s="1">
        <v>45723</v>
      </c>
      <c r="F114" s="1"/>
      <c r="G114" t="s">
        <v>560</v>
      </c>
      <c r="H114">
        <v>2025</v>
      </c>
      <c r="I114">
        <v>3</v>
      </c>
      <c r="J114">
        <v>1</v>
      </c>
      <c r="K114">
        <v>1</v>
      </c>
      <c r="L114" cm="1">
        <f t="array" ref="L11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5" spans="1:12" hidden="1" x14ac:dyDescent="0.3">
      <c r="A115" t="s">
        <v>675</v>
      </c>
      <c r="B115" t="s">
        <v>431</v>
      </c>
      <c r="C115" t="s">
        <v>10</v>
      </c>
      <c r="D115">
        <v>69</v>
      </c>
      <c r="E115" s="1">
        <v>45723</v>
      </c>
      <c r="F115" s="1"/>
      <c r="G115" t="s">
        <v>560</v>
      </c>
      <c r="H115">
        <v>2025</v>
      </c>
      <c r="I115">
        <v>3</v>
      </c>
      <c r="J115">
        <v>1</v>
      </c>
      <c r="K115">
        <v>1</v>
      </c>
      <c r="L115" cm="1">
        <f t="array" ref="L11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6" spans="1:12" hidden="1" x14ac:dyDescent="0.3">
      <c r="A116" t="s">
        <v>676</v>
      </c>
      <c r="B116" t="s">
        <v>177</v>
      </c>
      <c r="C116" t="s">
        <v>22</v>
      </c>
      <c r="D116">
        <v>94</v>
      </c>
      <c r="E116" s="1">
        <v>45727</v>
      </c>
      <c r="F116" s="1"/>
      <c r="G116" t="s">
        <v>574</v>
      </c>
      <c r="H116">
        <v>2025</v>
      </c>
      <c r="I116">
        <v>3</v>
      </c>
      <c r="J116">
        <v>1</v>
      </c>
      <c r="K116">
        <v>2</v>
      </c>
      <c r="L116" cm="1">
        <f t="array" ref="L11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7" spans="1:12" x14ac:dyDescent="0.3">
      <c r="A117" t="s">
        <v>677</v>
      </c>
      <c r="B117" t="s">
        <v>447</v>
      </c>
      <c r="C117" t="s">
        <v>29</v>
      </c>
      <c r="D117">
        <v>80</v>
      </c>
      <c r="E117" s="1">
        <v>45727</v>
      </c>
      <c r="F117" s="1">
        <v>45732</v>
      </c>
      <c r="G117" t="s">
        <v>563</v>
      </c>
      <c r="H117">
        <v>2025</v>
      </c>
      <c r="I117">
        <v>3</v>
      </c>
      <c r="J117">
        <v>1</v>
      </c>
      <c r="K117">
        <v>2</v>
      </c>
      <c r="L117" cm="1">
        <f t="array" ref="L11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8" spans="1:12" x14ac:dyDescent="0.3">
      <c r="A118" t="s">
        <v>678</v>
      </c>
      <c r="B118" t="s">
        <v>93</v>
      </c>
      <c r="C118" t="s">
        <v>29</v>
      </c>
      <c r="D118">
        <v>29</v>
      </c>
      <c r="E118" s="1">
        <v>45727</v>
      </c>
      <c r="F118" s="1">
        <v>45739</v>
      </c>
      <c r="G118" t="s">
        <v>563</v>
      </c>
      <c r="H118">
        <v>2025</v>
      </c>
      <c r="I118">
        <v>3</v>
      </c>
      <c r="J118">
        <v>1</v>
      </c>
      <c r="K118">
        <v>2</v>
      </c>
      <c r="L118" cm="1">
        <f t="array" ref="L11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9" spans="1:12" hidden="1" x14ac:dyDescent="0.3">
      <c r="A119" t="s">
        <v>679</v>
      </c>
      <c r="B119" t="s">
        <v>336</v>
      </c>
      <c r="C119" t="s">
        <v>10</v>
      </c>
      <c r="D119">
        <v>91</v>
      </c>
      <c r="E119" s="1">
        <v>45727</v>
      </c>
      <c r="F119" s="1"/>
      <c r="G119" t="s">
        <v>560</v>
      </c>
      <c r="H119">
        <v>2025</v>
      </c>
      <c r="I119">
        <v>3</v>
      </c>
      <c r="J119">
        <v>1</v>
      </c>
      <c r="K119">
        <v>2</v>
      </c>
      <c r="L119" cm="1">
        <f t="array" ref="L11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0" spans="1:12" x14ac:dyDescent="0.3">
      <c r="A120" t="s">
        <v>680</v>
      </c>
      <c r="B120" t="s">
        <v>256</v>
      </c>
      <c r="C120" t="s">
        <v>22</v>
      </c>
      <c r="D120">
        <v>66</v>
      </c>
      <c r="E120" s="1">
        <v>45728</v>
      </c>
      <c r="F120" s="1">
        <v>45735</v>
      </c>
      <c r="G120" t="s">
        <v>563</v>
      </c>
      <c r="H120">
        <v>2025</v>
      </c>
      <c r="I120">
        <v>3</v>
      </c>
      <c r="J120">
        <v>1</v>
      </c>
      <c r="K120">
        <v>2</v>
      </c>
      <c r="L120" cm="1">
        <f t="array" ref="L12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1" spans="1:12" hidden="1" x14ac:dyDescent="0.3">
      <c r="A121" t="s">
        <v>681</v>
      </c>
      <c r="B121" t="s">
        <v>500</v>
      </c>
      <c r="C121" t="s">
        <v>22</v>
      </c>
      <c r="D121">
        <v>93</v>
      </c>
      <c r="E121" s="1">
        <v>45728</v>
      </c>
      <c r="F121" s="1"/>
      <c r="G121" t="s">
        <v>560</v>
      </c>
      <c r="H121">
        <v>2025</v>
      </c>
      <c r="I121">
        <v>3</v>
      </c>
      <c r="J121">
        <v>1</v>
      </c>
      <c r="K121">
        <v>2</v>
      </c>
      <c r="L121" cm="1">
        <f t="array" ref="L12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2" spans="1:12" hidden="1" x14ac:dyDescent="0.3">
      <c r="A122" t="s">
        <v>682</v>
      </c>
      <c r="B122" t="s">
        <v>295</v>
      </c>
      <c r="C122" t="s">
        <v>16</v>
      </c>
      <c r="D122">
        <v>76</v>
      </c>
      <c r="E122" s="1">
        <v>45729</v>
      </c>
      <c r="F122" s="1"/>
      <c r="G122" t="s">
        <v>560</v>
      </c>
      <c r="H122">
        <v>2025</v>
      </c>
      <c r="I122">
        <v>3</v>
      </c>
      <c r="J122">
        <v>1</v>
      </c>
      <c r="K122">
        <v>2</v>
      </c>
      <c r="L122" cm="1">
        <f t="array" ref="L12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3" spans="1:12" x14ac:dyDescent="0.3">
      <c r="A123" t="s">
        <v>683</v>
      </c>
      <c r="B123" t="s">
        <v>350</v>
      </c>
      <c r="C123" t="s">
        <v>22</v>
      </c>
      <c r="D123">
        <v>11</v>
      </c>
      <c r="E123" s="1">
        <v>45730</v>
      </c>
      <c r="F123" s="1">
        <v>45743</v>
      </c>
      <c r="G123" t="s">
        <v>563</v>
      </c>
      <c r="H123">
        <v>2025</v>
      </c>
      <c r="I123">
        <v>3</v>
      </c>
      <c r="J123">
        <v>1</v>
      </c>
      <c r="K123">
        <v>2</v>
      </c>
      <c r="L123" cm="1">
        <f t="array" ref="L12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4" spans="1:12" x14ac:dyDescent="0.3">
      <c r="A124" t="s">
        <v>684</v>
      </c>
      <c r="B124" t="s">
        <v>532</v>
      </c>
      <c r="C124" t="s">
        <v>29</v>
      </c>
      <c r="D124">
        <v>75</v>
      </c>
      <c r="E124" s="1">
        <v>45731</v>
      </c>
      <c r="F124" s="1">
        <v>45740</v>
      </c>
      <c r="G124" t="s">
        <v>563</v>
      </c>
      <c r="H124">
        <v>2025</v>
      </c>
      <c r="I124">
        <v>3</v>
      </c>
      <c r="J124">
        <v>1</v>
      </c>
      <c r="K124">
        <v>3</v>
      </c>
      <c r="L124" cm="1">
        <f t="array" ref="L12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5" spans="1:12" x14ac:dyDescent="0.3">
      <c r="A125" t="s">
        <v>685</v>
      </c>
      <c r="B125" t="s">
        <v>292</v>
      </c>
      <c r="C125" t="s">
        <v>10</v>
      </c>
      <c r="D125">
        <v>74</v>
      </c>
      <c r="E125" s="1">
        <v>45732</v>
      </c>
      <c r="F125" s="1">
        <v>45741</v>
      </c>
      <c r="G125" t="s">
        <v>563</v>
      </c>
      <c r="H125">
        <v>2025</v>
      </c>
      <c r="I125">
        <v>3</v>
      </c>
      <c r="J125">
        <v>1</v>
      </c>
      <c r="K125">
        <v>3</v>
      </c>
      <c r="L125" cm="1">
        <f t="array" ref="L12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6" spans="1:12" x14ac:dyDescent="0.3">
      <c r="A126" t="s">
        <v>686</v>
      </c>
      <c r="B126" t="s">
        <v>107</v>
      </c>
      <c r="C126" t="s">
        <v>19</v>
      </c>
      <c r="D126">
        <v>69</v>
      </c>
      <c r="E126" s="1">
        <v>45732</v>
      </c>
      <c r="F126" s="1">
        <v>45743</v>
      </c>
      <c r="G126" t="s">
        <v>563</v>
      </c>
      <c r="H126">
        <v>2025</v>
      </c>
      <c r="I126">
        <v>3</v>
      </c>
      <c r="J126">
        <v>1</v>
      </c>
      <c r="K126">
        <v>3</v>
      </c>
      <c r="L126" cm="1">
        <f t="array" ref="L12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7" spans="1:12" x14ac:dyDescent="0.3">
      <c r="A127" t="s">
        <v>687</v>
      </c>
      <c r="B127" t="s">
        <v>120</v>
      </c>
      <c r="C127" t="s">
        <v>16</v>
      </c>
      <c r="D127">
        <v>102</v>
      </c>
      <c r="E127" s="1">
        <v>45732</v>
      </c>
      <c r="F127" s="1">
        <v>45736</v>
      </c>
      <c r="G127" t="s">
        <v>563</v>
      </c>
      <c r="H127">
        <v>2025</v>
      </c>
      <c r="I127">
        <v>3</v>
      </c>
      <c r="J127">
        <v>1</v>
      </c>
      <c r="K127">
        <v>3</v>
      </c>
      <c r="L127" cm="1">
        <f t="array" ref="L12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8" spans="1:12" hidden="1" x14ac:dyDescent="0.3">
      <c r="A128" t="s">
        <v>688</v>
      </c>
      <c r="B128" t="s">
        <v>491</v>
      </c>
      <c r="C128" t="s">
        <v>29</v>
      </c>
      <c r="D128">
        <v>83</v>
      </c>
      <c r="E128" s="1">
        <v>45733</v>
      </c>
      <c r="F128" s="1"/>
      <c r="G128" t="s">
        <v>574</v>
      </c>
      <c r="H128">
        <v>2025</v>
      </c>
      <c r="I128">
        <v>3</v>
      </c>
      <c r="J128">
        <v>1</v>
      </c>
      <c r="K128">
        <v>3</v>
      </c>
      <c r="L128" cm="1">
        <f t="array" ref="L12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9" spans="1:12" hidden="1" x14ac:dyDescent="0.3">
      <c r="A129" t="s">
        <v>689</v>
      </c>
      <c r="B129" t="s">
        <v>316</v>
      </c>
      <c r="C129" t="s">
        <v>10</v>
      </c>
      <c r="D129">
        <v>92</v>
      </c>
      <c r="E129" s="1">
        <v>45735</v>
      </c>
      <c r="F129" s="1"/>
      <c r="G129" t="s">
        <v>560</v>
      </c>
      <c r="H129">
        <v>2025</v>
      </c>
      <c r="I129">
        <v>3</v>
      </c>
      <c r="J129">
        <v>1</v>
      </c>
      <c r="K129">
        <v>3</v>
      </c>
      <c r="L129" cm="1">
        <f t="array" ref="L12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0" spans="1:12" x14ac:dyDescent="0.3">
      <c r="A130" t="s">
        <v>690</v>
      </c>
      <c r="B130" t="s">
        <v>133</v>
      </c>
      <c r="C130" t="s">
        <v>10</v>
      </c>
      <c r="D130">
        <v>86</v>
      </c>
      <c r="E130" s="1">
        <v>45735</v>
      </c>
      <c r="F130" s="1">
        <v>45747</v>
      </c>
      <c r="G130" t="s">
        <v>563</v>
      </c>
      <c r="H130">
        <v>2025</v>
      </c>
      <c r="I130">
        <v>3</v>
      </c>
      <c r="J130">
        <v>1</v>
      </c>
      <c r="K130">
        <v>3</v>
      </c>
      <c r="L130" cm="1">
        <f t="array" ref="L13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1" spans="1:12" hidden="1" x14ac:dyDescent="0.3">
      <c r="A131" t="s">
        <v>691</v>
      </c>
      <c r="B131" t="s">
        <v>401</v>
      </c>
      <c r="C131" t="s">
        <v>10</v>
      </c>
      <c r="D131">
        <v>29</v>
      </c>
      <c r="E131" s="1">
        <v>45735</v>
      </c>
      <c r="F131" s="1"/>
      <c r="G131" t="s">
        <v>574</v>
      </c>
      <c r="H131">
        <v>2025</v>
      </c>
      <c r="I131">
        <v>3</v>
      </c>
      <c r="J131">
        <v>1</v>
      </c>
      <c r="K131">
        <v>3</v>
      </c>
      <c r="L131" cm="1">
        <f t="array" ref="L13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2" spans="1:12" x14ac:dyDescent="0.3">
      <c r="A132" t="s">
        <v>692</v>
      </c>
      <c r="B132" t="s">
        <v>267</v>
      </c>
      <c r="C132" t="s">
        <v>29</v>
      </c>
      <c r="D132">
        <v>55</v>
      </c>
      <c r="E132" s="1">
        <v>45735</v>
      </c>
      <c r="F132" s="1">
        <v>45749</v>
      </c>
      <c r="G132" t="s">
        <v>563</v>
      </c>
      <c r="H132">
        <v>2025</v>
      </c>
      <c r="I132">
        <v>3</v>
      </c>
      <c r="J132">
        <v>1</v>
      </c>
      <c r="K132">
        <v>3</v>
      </c>
      <c r="L132" cm="1">
        <f t="array" ref="L13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3" spans="1:12" x14ac:dyDescent="0.3">
      <c r="A133" t="s">
        <v>693</v>
      </c>
      <c r="B133" t="s">
        <v>315</v>
      </c>
      <c r="C133" t="s">
        <v>16</v>
      </c>
      <c r="D133">
        <v>55</v>
      </c>
      <c r="E133" s="1">
        <v>45736</v>
      </c>
      <c r="F133" s="1">
        <v>45749</v>
      </c>
      <c r="G133" t="s">
        <v>563</v>
      </c>
      <c r="H133">
        <v>2025</v>
      </c>
      <c r="I133">
        <v>3</v>
      </c>
      <c r="J133">
        <v>1</v>
      </c>
      <c r="K133">
        <v>3</v>
      </c>
      <c r="L133" cm="1">
        <f t="array" ref="L13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4" spans="1:12" x14ac:dyDescent="0.3">
      <c r="A134" t="s">
        <v>694</v>
      </c>
      <c r="B134" t="s">
        <v>497</v>
      </c>
      <c r="C134" t="s">
        <v>10</v>
      </c>
      <c r="D134">
        <v>85</v>
      </c>
      <c r="E134" s="1">
        <v>45736</v>
      </c>
      <c r="F134" s="1">
        <v>45743</v>
      </c>
      <c r="G134" t="s">
        <v>563</v>
      </c>
      <c r="H134">
        <v>2025</v>
      </c>
      <c r="I134">
        <v>3</v>
      </c>
      <c r="J134">
        <v>1</v>
      </c>
      <c r="K134">
        <v>3</v>
      </c>
      <c r="L134" cm="1">
        <f t="array" ref="L13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5" spans="1:12" x14ac:dyDescent="0.3">
      <c r="A135" t="s">
        <v>695</v>
      </c>
      <c r="B135" t="s">
        <v>315</v>
      </c>
      <c r="C135" t="s">
        <v>19</v>
      </c>
      <c r="D135">
        <v>95</v>
      </c>
      <c r="E135" s="1">
        <v>45737</v>
      </c>
      <c r="F135" s="1">
        <v>45741</v>
      </c>
      <c r="G135" t="s">
        <v>563</v>
      </c>
      <c r="H135">
        <v>2025</v>
      </c>
      <c r="I135">
        <v>3</v>
      </c>
      <c r="J135">
        <v>1</v>
      </c>
      <c r="K135">
        <v>3</v>
      </c>
      <c r="L135" cm="1">
        <f t="array" ref="L13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6" spans="1:12" hidden="1" x14ac:dyDescent="0.3">
      <c r="A136" t="s">
        <v>696</v>
      </c>
      <c r="B136" t="s">
        <v>411</v>
      </c>
      <c r="C136" t="s">
        <v>22</v>
      </c>
      <c r="D136">
        <v>73</v>
      </c>
      <c r="E136" s="1">
        <v>45737</v>
      </c>
      <c r="F136" s="1"/>
      <c r="G136" t="s">
        <v>560</v>
      </c>
      <c r="H136">
        <v>2025</v>
      </c>
      <c r="I136">
        <v>3</v>
      </c>
      <c r="J136">
        <v>1</v>
      </c>
      <c r="K136">
        <v>3</v>
      </c>
      <c r="L136" cm="1">
        <f t="array" ref="L13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7" spans="1:12" x14ac:dyDescent="0.3">
      <c r="A137" t="s">
        <v>697</v>
      </c>
      <c r="B137" t="s">
        <v>518</v>
      </c>
      <c r="C137" t="s">
        <v>22</v>
      </c>
      <c r="D137">
        <v>18</v>
      </c>
      <c r="E137" s="1">
        <v>45738</v>
      </c>
      <c r="F137" s="1">
        <v>45741</v>
      </c>
      <c r="G137" t="s">
        <v>563</v>
      </c>
      <c r="H137">
        <v>2025</v>
      </c>
      <c r="I137">
        <v>3</v>
      </c>
      <c r="J137">
        <v>1</v>
      </c>
      <c r="K137">
        <v>4</v>
      </c>
      <c r="L137" cm="1">
        <f t="array" ref="L13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8" spans="1:12" x14ac:dyDescent="0.3">
      <c r="A138" t="s">
        <v>698</v>
      </c>
      <c r="B138" t="s">
        <v>84</v>
      </c>
      <c r="C138" t="s">
        <v>19</v>
      </c>
      <c r="D138">
        <v>93</v>
      </c>
      <c r="E138" s="1">
        <v>45738</v>
      </c>
      <c r="F138" s="1">
        <v>45749</v>
      </c>
      <c r="G138" t="s">
        <v>563</v>
      </c>
      <c r="H138">
        <v>2025</v>
      </c>
      <c r="I138">
        <v>3</v>
      </c>
      <c r="J138">
        <v>1</v>
      </c>
      <c r="K138">
        <v>4</v>
      </c>
      <c r="L138" cm="1">
        <f t="array" ref="L13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9" spans="1:12" x14ac:dyDescent="0.3">
      <c r="A139" t="s">
        <v>699</v>
      </c>
      <c r="B139" t="s">
        <v>360</v>
      </c>
      <c r="C139" t="s">
        <v>22</v>
      </c>
      <c r="D139">
        <v>11</v>
      </c>
      <c r="E139" s="1">
        <v>45738</v>
      </c>
      <c r="F139" s="1">
        <v>45746</v>
      </c>
      <c r="G139" t="s">
        <v>563</v>
      </c>
      <c r="H139">
        <v>2025</v>
      </c>
      <c r="I139">
        <v>3</v>
      </c>
      <c r="J139">
        <v>1</v>
      </c>
      <c r="K139">
        <v>4</v>
      </c>
      <c r="L139" cm="1">
        <f t="array" ref="L13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0" spans="1:12" hidden="1" x14ac:dyDescent="0.3">
      <c r="A140" t="s">
        <v>700</v>
      </c>
      <c r="B140" t="s">
        <v>213</v>
      </c>
      <c r="C140" t="s">
        <v>29</v>
      </c>
      <c r="D140">
        <v>103</v>
      </c>
      <c r="E140" s="1">
        <v>45738</v>
      </c>
      <c r="F140" s="1"/>
      <c r="G140" t="s">
        <v>574</v>
      </c>
      <c r="H140">
        <v>2025</v>
      </c>
      <c r="I140">
        <v>3</v>
      </c>
      <c r="J140">
        <v>1</v>
      </c>
      <c r="K140">
        <v>4</v>
      </c>
      <c r="L140" cm="1">
        <f t="array" ref="L14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1" spans="1:12" x14ac:dyDescent="0.3">
      <c r="A141" t="s">
        <v>701</v>
      </c>
      <c r="B141" t="s">
        <v>347</v>
      </c>
      <c r="C141" t="s">
        <v>10</v>
      </c>
      <c r="D141">
        <v>93</v>
      </c>
      <c r="E141" s="1">
        <v>45738</v>
      </c>
      <c r="F141" s="1">
        <v>45743</v>
      </c>
      <c r="G141" t="s">
        <v>563</v>
      </c>
      <c r="H141">
        <v>2025</v>
      </c>
      <c r="I141">
        <v>3</v>
      </c>
      <c r="J141">
        <v>1</v>
      </c>
      <c r="K141">
        <v>4</v>
      </c>
      <c r="L141" cm="1">
        <f t="array" ref="L14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2" spans="1:12" x14ac:dyDescent="0.3">
      <c r="A142" t="s">
        <v>702</v>
      </c>
      <c r="B142" t="s">
        <v>270</v>
      </c>
      <c r="C142" t="s">
        <v>16</v>
      </c>
      <c r="D142">
        <v>41</v>
      </c>
      <c r="E142" s="1">
        <v>45739</v>
      </c>
      <c r="F142" s="1">
        <v>45750</v>
      </c>
      <c r="G142" t="s">
        <v>563</v>
      </c>
      <c r="H142">
        <v>2025</v>
      </c>
      <c r="I142">
        <v>3</v>
      </c>
      <c r="J142">
        <v>1</v>
      </c>
      <c r="K142">
        <v>4</v>
      </c>
      <c r="L142" cm="1">
        <f t="array" ref="L14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3" spans="1:12" x14ac:dyDescent="0.3">
      <c r="A143" t="s">
        <v>703</v>
      </c>
      <c r="B143" t="s">
        <v>211</v>
      </c>
      <c r="C143" t="s">
        <v>10</v>
      </c>
      <c r="D143">
        <v>96</v>
      </c>
      <c r="E143" s="1">
        <v>45742</v>
      </c>
      <c r="F143" s="1">
        <v>45750</v>
      </c>
      <c r="G143" t="s">
        <v>563</v>
      </c>
      <c r="H143">
        <v>2025</v>
      </c>
      <c r="I143">
        <v>3</v>
      </c>
      <c r="J143">
        <v>1</v>
      </c>
      <c r="K143">
        <v>4</v>
      </c>
      <c r="L143" cm="1">
        <f t="array" ref="L14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4" spans="1:12" hidden="1" x14ac:dyDescent="0.3">
      <c r="A144" t="s">
        <v>704</v>
      </c>
      <c r="B144" t="s">
        <v>463</v>
      </c>
      <c r="C144" t="s">
        <v>19</v>
      </c>
      <c r="D144">
        <v>29</v>
      </c>
      <c r="E144" s="1">
        <v>45742</v>
      </c>
      <c r="F144" s="1"/>
      <c r="G144" t="s">
        <v>560</v>
      </c>
      <c r="H144">
        <v>2025</v>
      </c>
      <c r="I144">
        <v>3</v>
      </c>
      <c r="J144">
        <v>1</v>
      </c>
      <c r="K144">
        <v>4</v>
      </c>
      <c r="L144" cm="1">
        <f t="array" ref="L14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5" spans="1:12" x14ac:dyDescent="0.3">
      <c r="A145" t="s">
        <v>705</v>
      </c>
      <c r="B145" t="s">
        <v>529</v>
      </c>
      <c r="C145" t="s">
        <v>22</v>
      </c>
      <c r="D145">
        <v>82</v>
      </c>
      <c r="E145" s="1">
        <v>45742</v>
      </c>
      <c r="F145" s="1">
        <v>45745</v>
      </c>
      <c r="G145" t="s">
        <v>563</v>
      </c>
      <c r="H145">
        <v>2025</v>
      </c>
      <c r="I145">
        <v>3</v>
      </c>
      <c r="J145">
        <v>1</v>
      </c>
      <c r="K145">
        <v>4</v>
      </c>
      <c r="L145" cm="1">
        <f t="array" ref="L14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6" spans="1:12" x14ac:dyDescent="0.3">
      <c r="A146" t="s">
        <v>706</v>
      </c>
      <c r="B146" t="s">
        <v>176</v>
      </c>
      <c r="C146" t="s">
        <v>29</v>
      </c>
      <c r="D146">
        <v>49</v>
      </c>
      <c r="E146" s="1">
        <v>45743</v>
      </c>
      <c r="F146" s="1">
        <v>45750</v>
      </c>
      <c r="G146" t="s">
        <v>563</v>
      </c>
      <c r="H146">
        <v>2025</v>
      </c>
      <c r="I146">
        <v>3</v>
      </c>
      <c r="J146">
        <v>1</v>
      </c>
      <c r="K146">
        <v>4</v>
      </c>
      <c r="L146" cm="1">
        <f t="array" ref="L14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7" spans="1:12" x14ac:dyDescent="0.3">
      <c r="A147" t="s">
        <v>707</v>
      </c>
      <c r="B147" t="s">
        <v>290</v>
      </c>
      <c r="C147" t="s">
        <v>16</v>
      </c>
      <c r="D147">
        <v>26</v>
      </c>
      <c r="E147" s="1">
        <v>45743</v>
      </c>
      <c r="F147" s="1">
        <v>45754</v>
      </c>
      <c r="G147" t="s">
        <v>563</v>
      </c>
      <c r="H147">
        <v>2025</v>
      </c>
      <c r="I147">
        <v>3</v>
      </c>
      <c r="J147">
        <v>1</v>
      </c>
      <c r="K147">
        <v>4</v>
      </c>
      <c r="L147" cm="1">
        <f t="array" ref="L14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8" spans="1:12" x14ac:dyDescent="0.3">
      <c r="A148" t="s">
        <v>708</v>
      </c>
      <c r="B148" t="s">
        <v>343</v>
      </c>
      <c r="C148" t="s">
        <v>22</v>
      </c>
      <c r="D148">
        <v>33</v>
      </c>
      <c r="E148" s="1">
        <v>45744</v>
      </c>
      <c r="F148" s="1">
        <v>45750</v>
      </c>
      <c r="G148" t="s">
        <v>563</v>
      </c>
      <c r="H148">
        <v>2025</v>
      </c>
      <c r="I148">
        <v>3</v>
      </c>
      <c r="J148">
        <v>1</v>
      </c>
      <c r="K148">
        <v>5</v>
      </c>
      <c r="L148" cm="1">
        <f t="array" ref="L14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9" spans="1:12" x14ac:dyDescent="0.3">
      <c r="A149" t="s">
        <v>709</v>
      </c>
      <c r="B149" t="s">
        <v>145</v>
      </c>
      <c r="C149" t="s">
        <v>19</v>
      </c>
      <c r="D149">
        <v>47</v>
      </c>
      <c r="E149" s="1">
        <v>45745</v>
      </c>
      <c r="F149" s="1">
        <v>45752</v>
      </c>
      <c r="G149" t="s">
        <v>563</v>
      </c>
      <c r="H149">
        <v>2025</v>
      </c>
      <c r="I149">
        <v>3</v>
      </c>
      <c r="J149">
        <v>1</v>
      </c>
      <c r="K149">
        <v>5</v>
      </c>
      <c r="L149" cm="1">
        <f t="array" ref="L14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50" spans="1:12" x14ac:dyDescent="0.3">
      <c r="A150" t="s">
        <v>710</v>
      </c>
      <c r="B150" t="s">
        <v>200</v>
      </c>
      <c r="C150" t="s">
        <v>10</v>
      </c>
      <c r="D150">
        <v>52</v>
      </c>
      <c r="E150" s="1">
        <v>45746</v>
      </c>
      <c r="F150" s="1">
        <v>45756</v>
      </c>
      <c r="G150" t="s">
        <v>563</v>
      </c>
      <c r="H150">
        <v>2025</v>
      </c>
      <c r="I150">
        <v>3</v>
      </c>
      <c r="J150">
        <v>1</v>
      </c>
      <c r="K150">
        <v>5</v>
      </c>
      <c r="L150" cm="1">
        <f t="array" ref="L15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51" spans="1:12" hidden="1" x14ac:dyDescent="0.3">
      <c r="A151" t="s">
        <v>711</v>
      </c>
      <c r="B151" t="s">
        <v>135</v>
      </c>
      <c r="C151" t="s">
        <v>10</v>
      </c>
      <c r="D151">
        <v>43</v>
      </c>
      <c r="E151" s="1">
        <v>45747</v>
      </c>
      <c r="F151" s="1"/>
      <c r="G151" t="s">
        <v>574</v>
      </c>
      <c r="H151">
        <v>2025</v>
      </c>
      <c r="I151">
        <v>4</v>
      </c>
      <c r="J151">
        <v>2</v>
      </c>
      <c r="K151">
        <v>1</v>
      </c>
      <c r="L151" cm="1">
        <f t="array" ref="L15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2" spans="1:12" hidden="1" x14ac:dyDescent="0.3">
      <c r="A152" t="s">
        <v>712</v>
      </c>
      <c r="B152" t="s">
        <v>244</v>
      </c>
      <c r="C152" t="s">
        <v>19</v>
      </c>
      <c r="D152">
        <v>29</v>
      </c>
      <c r="E152" s="1">
        <v>45748</v>
      </c>
      <c r="F152" s="1"/>
      <c r="G152" t="s">
        <v>560</v>
      </c>
      <c r="H152">
        <v>2025</v>
      </c>
      <c r="I152">
        <v>4</v>
      </c>
      <c r="J152">
        <v>2</v>
      </c>
      <c r="K152">
        <v>1</v>
      </c>
      <c r="L152" cm="1">
        <f t="array" ref="L15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3" spans="1:12" x14ac:dyDescent="0.3">
      <c r="A153" t="s">
        <v>713</v>
      </c>
      <c r="B153" t="s">
        <v>329</v>
      </c>
      <c r="C153" t="s">
        <v>10</v>
      </c>
      <c r="D153">
        <v>61</v>
      </c>
      <c r="E153" s="1">
        <v>45748</v>
      </c>
      <c r="F153" s="1">
        <v>45755</v>
      </c>
      <c r="G153" t="s">
        <v>563</v>
      </c>
      <c r="H153">
        <v>2025</v>
      </c>
      <c r="I153">
        <v>4</v>
      </c>
      <c r="J153">
        <v>2</v>
      </c>
      <c r="K153">
        <v>1</v>
      </c>
      <c r="L153" cm="1">
        <f t="array" ref="L15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4" spans="1:12" x14ac:dyDescent="0.3">
      <c r="A154" t="s">
        <v>714</v>
      </c>
      <c r="B154" t="s">
        <v>482</v>
      </c>
      <c r="C154" t="s">
        <v>16</v>
      </c>
      <c r="D154">
        <v>53</v>
      </c>
      <c r="E154" s="1">
        <v>45749</v>
      </c>
      <c r="F154" s="1">
        <v>45754</v>
      </c>
      <c r="G154" t="s">
        <v>563</v>
      </c>
      <c r="H154">
        <v>2025</v>
      </c>
      <c r="I154">
        <v>4</v>
      </c>
      <c r="J154">
        <v>2</v>
      </c>
      <c r="K154">
        <v>1</v>
      </c>
      <c r="L154" cm="1">
        <f t="array" ref="L15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5" spans="1:12" x14ac:dyDescent="0.3">
      <c r="A155" t="s">
        <v>715</v>
      </c>
      <c r="B155" t="s">
        <v>436</v>
      </c>
      <c r="C155" t="s">
        <v>19</v>
      </c>
      <c r="D155">
        <v>70</v>
      </c>
      <c r="E155" s="1">
        <v>45750</v>
      </c>
      <c r="F155" s="1">
        <v>45757</v>
      </c>
      <c r="G155" t="s">
        <v>563</v>
      </c>
      <c r="H155">
        <v>2025</v>
      </c>
      <c r="I155">
        <v>4</v>
      </c>
      <c r="J155">
        <v>2</v>
      </c>
      <c r="K155">
        <v>1</v>
      </c>
      <c r="L155" cm="1">
        <f t="array" ref="L15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6" spans="1:12" hidden="1" x14ac:dyDescent="0.3">
      <c r="A156" t="s">
        <v>716</v>
      </c>
      <c r="B156" t="s">
        <v>522</v>
      </c>
      <c r="C156" t="s">
        <v>10</v>
      </c>
      <c r="D156">
        <v>37</v>
      </c>
      <c r="E156" s="1">
        <v>45750</v>
      </c>
      <c r="F156" s="1"/>
      <c r="G156" t="s">
        <v>574</v>
      </c>
      <c r="H156">
        <v>2025</v>
      </c>
      <c r="I156">
        <v>4</v>
      </c>
      <c r="J156">
        <v>2</v>
      </c>
      <c r="K156">
        <v>1</v>
      </c>
      <c r="L156" cm="1">
        <f t="array" ref="L15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7" spans="1:12" x14ac:dyDescent="0.3">
      <c r="A157" t="s">
        <v>717</v>
      </c>
      <c r="B157" t="s">
        <v>380</v>
      </c>
      <c r="C157" t="s">
        <v>10</v>
      </c>
      <c r="D157">
        <v>20</v>
      </c>
      <c r="E157" s="1">
        <v>45750</v>
      </c>
      <c r="F157" s="1">
        <v>45762</v>
      </c>
      <c r="G157" t="s">
        <v>563</v>
      </c>
      <c r="H157">
        <v>2025</v>
      </c>
      <c r="I157">
        <v>4</v>
      </c>
      <c r="J157">
        <v>2</v>
      </c>
      <c r="K157">
        <v>1</v>
      </c>
      <c r="L157" cm="1">
        <f t="array" ref="L15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8" spans="1:12" x14ac:dyDescent="0.3">
      <c r="A158" t="s">
        <v>718</v>
      </c>
      <c r="B158" t="s">
        <v>223</v>
      </c>
      <c r="C158" t="s">
        <v>22</v>
      </c>
      <c r="D158">
        <v>28</v>
      </c>
      <c r="E158" s="1">
        <v>45751</v>
      </c>
      <c r="F158" s="1">
        <v>45762</v>
      </c>
      <c r="G158" t="s">
        <v>563</v>
      </c>
      <c r="H158">
        <v>2025</v>
      </c>
      <c r="I158">
        <v>4</v>
      </c>
      <c r="J158">
        <v>2</v>
      </c>
      <c r="K158">
        <v>1</v>
      </c>
      <c r="L158" cm="1">
        <f t="array" ref="L15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9" spans="1:12" hidden="1" x14ac:dyDescent="0.3">
      <c r="A159" t="s">
        <v>719</v>
      </c>
      <c r="B159" t="s">
        <v>160</v>
      </c>
      <c r="C159" t="s">
        <v>10</v>
      </c>
      <c r="D159">
        <v>46</v>
      </c>
      <c r="E159" s="1">
        <v>45753</v>
      </c>
      <c r="F159" s="1"/>
      <c r="G159" t="s">
        <v>560</v>
      </c>
      <c r="H159">
        <v>2025</v>
      </c>
      <c r="I159">
        <v>4</v>
      </c>
      <c r="J159">
        <v>2</v>
      </c>
      <c r="K159">
        <v>1</v>
      </c>
      <c r="L159" cm="1">
        <f t="array" ref="L15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0" spans="1:12" x14ac:dyDescent="0.3">
      <c r="A160" t="s">
        <v>720</v>
      </c>
      <c r="B160" t="s">
        <v>205</v>
      </c>
      <c r="C160" t="s">
        <v>10</v>
      </c>
      <c r="D160">
        <v>96</v>
      </c>
      <c r="E160" s="1">
        <v>45753</v>
      </c>
      <c r="F160" s="1">
        <v>45764</v>
      </c>
      <c r="G160" t="s">
        <v>563</v>
      </c>
      <c r="H160">
        <v>2025</v>
      </c>
      <c r="I160">
        <v>4</v>
      </c>
      <c r="J160">
        <v>2</v>
      </c>
      <c r="K160">
        <v>1</v>
      </c>
      <c r="L160" cm="1">
        <f t="array" ref="L16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1" spans="1:12" x14ac:dyDescent="0.3">
      <c r="A161" t="s">
        <v>721</v>
      </c>
      <c r="B161" t="s">
        <v>423</v>
      </c>
      <c r="C161" t="s">
        <v>16</v>
      </c>
      <c r="D161">
        <v>47</v>
      </c>
      <c r="E161" s="1">
        <v>45754</v>
      </c>
      <c r="F161" s="1">
        <v>45762</v>
      </c>
      <c r="G161" t="s">
        <v>563</v>
      </c>
      <c r="H161">
        <v>2025</v>
      </c>
      <c r="I161">
        <v>4</v>
      </c>
      <c r="J161">
        <v>2</v>
      </c>
      <c r="K161">
        <v>1</v>
      </c>
      <c r="L161" cm="1">
        <f t="array" ref="L16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2" spans="1:12" x14ac:dyDescent="0.3">
      <c r="A162" t="s">
        <v>722</v>
      </c>
      <c r="B162" t="s">
        <v>423</v>
      </c>
      <c r="C162" t="s">
        <v>22</v>
      </c>
      <c r="D162">
        <v>105</v>
      </c>
      <c r="E162" s="1">
        <v>45754</v>
      </c>
      <c r="F162" s="1">
        <v>45768</v>
      </c>
      <c r="G162" t="s">
        <v>563</v>
      </c>
      <c r="H162">
        <v>2025</v>
      </c>
      <c r="I162">
        <v>4</v>
      </c>
      <c r="J162">
        <v>2</v>
      </c>
      <c r="K162">
        <v>2</v>
      </c>
      <c r="L162" cm="1">
        <f t="array" ref="L16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3" spans="1:12" hidden="1" x14ac:dyDescent="0.3">
      <c r="A163" t="s">
        <v>723</v>
      </c>
      <c r="B163" t="s">
        <v>286</v>
      </c>
      <c r="C163" t="s">
        <v>16</v>
      </c>
      <c r="D163">
        <v>48</v>
      </c>
      <c r="E163" s="1">
        <v>45754</v>
      </c>
      <c r="F163" s="1"/>
      <c r="G163" t="s">
        <v>560</v>
      </c>
      <c r="H163">
        <v>2025</v>
      </c>
      <c r="I163">
        <v>4</v>
      </c>
      <c r="J163">
        <v>2</v>
      </c>
      <c r="K163">
        <v>2</v>
      </c>
      <c r="L163" cm="1">
        <f t="array" ref="L16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4" spans="1:12" x14ac:dyDescent="0.3">
      <c r="A164" t="s">
        <v>724</v>
      </c>
      <c r="B164" t="s">
        <v>66</v>
      </c>
      <c r="C164" t="s">
        <v>19</v>
      </c>
      <c r="D164">
        <v>87</v>
      </c>
      <c r="E164" s="1">
        <v>45754</v>
      </c>
      <c r="F164" s="1">
        <v>45763</v>
      </c>
      <c r="G164" t="s">
        <v>563</v>
      </c>
      <c r="H164">
        <v>2025</v>
      </c>
      <c r="I164">
        <v>4</v>
      </c>
      <c r="J164">
        <v>2</v>
      </c>
      <c r="K164">
        <v>1</v>
      </c>
      <c r="L164" cm="1">
        <f t="array" ref="L16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5" spans="1:12" hidden="1" x14ac:dyDescent="0.3">
      <c r="A165" t="s">
        <v>725</v>
      </c>
      <c r="B165" t="s">
        <v>257</v>
      </c>
      <c r="C165" t="s">
        <v>22</v>
      </c>
      <c r="D165">
        <v>77</v>
      </c>
      <c r="E165" s="1">
        <v>45754</v>
      </c>
      <c r="F165" s="1"/>
      <c r="G165" t="s">
        <v>560</v>
      </c>
      <c r="H165">
        <v>2025</v>
      </c>
      <c r="I165">
        <v>4</v>
      </c>
      <c r="J165">
        <v>2</v>
      </c>
      <c r="K165">
        <v>1</v>
      </c>
      <c r="L165" cm="1">
        <f t="array" ref="L16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6" spans="1:12" hidden="1" x14ac:dyDescent="0.3">
      <c r="A166" t="s">
        <v>726</v>
      </c>
      <c r="B166" t="s">
        <v>532</v>
      </c>
      <c r="C166" t="s">
        <v>16</v>
      </c>
      <c r="D166">
        <v>61</v>
      </c>
      <c r="E166" s="1">
        <v>45754</v>
      </c>
      <c r="F166" s="1"/>
      <c r="G166" t="s">
        <v>574</v>
      </c>
      <c r="H166">
        <v>2025</v>
      </c>
      <c r="I166">
        <v>4</v>
      </c>
      <c r="J166">
        <v>2</v>
      </c>
      <c r="K166">
        <v>1</v>
      </c>
      <c r="L166" cm="1">
        <f t="array" ref="L16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7" spans="1:12" hidden="1" x14ac:dyDescent="0.3">
      <c r="A167" t="s">
        <v>727</v>
      </c>
      <c r="B167" t="s">
        <v>328</v>
      </c>
      <c r="C167" t="s">
        <v>29</v>
      </c>
      <c r="D167">
        <v>34</v>
      </c>
      <c r="E167" s="1">
        <v>45755</v>
      </c>
      <c r="F167" s="1"/>
      <c r="G167" t="s">
        <v>560</v>
      </c>
      <c r="H167">
        <v>2025</v>
      </c>
      <c r="I167">
        <v>4</v>
      </c>
      <c r="J167">
        <v>2</v>
      </c>
      <c r="K167">
        <v>2</v>
      </c>
      <c r="L167" cm="1">
        <f t="array" ref="L16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8" spans="1:12" x14ac:dyDescent="0.3">
      <c r="A168" t="s">
        <v>728</v>
      </c>
      <c r="B168" t="s">
        <v>117</v>
      </c>
      <c r="C168" t="s">
        <v>29</v>
      </c>
      <c r="D168">
        <v>21</v>
      </c>
      <c r="E168" s="1">
        <v>45756</v>
      </c>
      <c r="F168" s="1">
        <v>45770</v>
      </c>
      <c r="G168" t="s">
        <v>563</v>
      </c>
      <c r="H168">
        <v>2025</v>
      </c>
      <c r="I168">
        <v>4</v>
      </c>
      <c r="J168">
        <v>2</v>
      </c>
      <c r="K168">
        <v>2</v>
      </c>
      <c r="L168" cm="1">
        <f t="array" ref="L16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9" spans="1:12" x14ac:dyDescent="0.3">
      <c r="A169" t="s">
        <v>729</v>
      </c>
      <c r="B169" t="s">
        <v>204</v>
      </c>
      <c r="C169" t="s">
        <v>16</v>
      </c>
      <c r="D169">
        <v>74</v>
      </c>
      <c r="E169" s="1">
        <v>45756</v>
      </c>
      <c r="F169" s="1">
        <v>45769</v>
      </c>
      <c r="G169" t="s">
        <v>563</v>
      </c>
      <c r="H169">
        <v>2025</v>
      </c>
      <c r="I169">
        <v>4</v>
      </c>
      <c r="J169">
        <v>2</v>
      </c>
      <c r="K169">
        <v>2</v>
      </c>
      <c r="L169" cm="1">
        <f t="array" ref="L16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0" spans="1:12" x14ac:dyDescent="0.3">
      <c r="A170" t="s">
        <v>730</v>
      </c>
      <c r="B170" t="s">
        <v>156</v>
      </c>
      <c r="C170" t="s">
        <v>19</v>
      </c>
      <c r="D170">
        <v>52</v>
      </c>
      <c r="E170" s="1">
        <v>45756</v>
      </c>
      <c r="F170" s="1">
        <v>45764</v>
      </c>
      <c r="G170" t="s">
        <v>563</v>
      </c>
      <c r="H170">
        <v>2025</v>
      </c>
      <c r="I170">
        <v>4</v>
      </c>
      <c r="J170">
        <v>2</v>
      </c>
      <c r="K170">
        <v>2</v>
      </c>
      <c r="L170" cm="1">
        <f t="array" ref="L17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1" spans="1:12" x14ac:dyDescent="0.3">
      <c r="A171" t="s">
        <v>731</v>
      </c>
      <c r="B171" t="s">
        <v>390</v>
      </c>
      <c r="C171" t="s">
        <v>29</v>
      </c>
      <c r="D171">
        <v>55</v>
      </c>
      <c r="E171" s="1">
        <v>45759</v>
      </c>
      <c r="F171" s="1">
        <v>45765</v>
      </c>
      <c r="G171" t="s">
        <v>563</v>
      </c>
      <c r="H171">
        <v>2025</v>
      </c>
      <c r="I171">
        <v>4</v>
      </c>
      <c r="J171">
        <v>2</v>
      </c>
      <c r="K171">
        <v>2</v>
      </c>
      <c r="L171" cm="1">
        <f t="array" ref="L17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2" spans="1:12" x14ac:dyDescent="0.3">
      <c r="A172" t="s">
        <v>732</v>
      </c>
      <c r="B172" t="s">
        <v>95</v>
      </c>
      <c r="C172" t="s">
        <v>22</v>
      </c>
      <c r="D172">
        <v>93</v>
      </c>
      <c r="E172" s="1">
        <v>45760</v>
      </c>
      <c r="F172" s="1">
        <v>45765</v>
      </c>
      <c r="G172" t="s">
        <v>563</v>
      </c>
      <c r="H172">
        <v>2025</v>
      </c>
      <c r="I172">
        <v>4</v>
      </c>
      <c r="J172">
        <v>2</v>
      </c>
      <c r="K172">
        <v>2</v>
      </c>
      <c r="L172" cm="1">
        <f t="array" ref="L17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3" spans="1:12" hidden="1" x14ac:dyDescent="0.3">
      <c r="A173" t="s">
        <v>733</v>
      </c>
      <c r="B173" t="s">
        <v>365</v>
      </c>
      <c r="C173" t="s">
        <v>22</v>
      </c>
      <c r="D173">
        <v>52</v>
      </c>
      <c r="E173" s="1">
        <v>45762</v>
      </c>
      <c r="F173" s="1"/>
      <c r="G173" t="s">
        <v>574</v>
      </c>
      <c r="H173">
        <v>2025</v>
      </c>
      <c r="I173">
        <v>4</v>
      </c>
      <c r="J173">
        <v>2</v>
      </c>
      <c r="K173">
        <v>3</v>
      </c>
      <c r="L173" cm="1">
        <f t="array" ref="L17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4" spans="1:12" hidden="1" x14ac:dyDescent="0.3">
      <c r="A174" t="s">
        <v>734</v>
      </c>
      <c r="B174" t="s">
        <v>153</v>
      </c>
      <c r="C174" t="s">
        <v>16</v>
      </c>
      <c r="D174">
        <v>87</v>
      </c>
      <c r="E174" s="1">
        <v>45762</v>
      </c>
      <c r="F174" s="1"/>
      <c r="G174" t="s">
        <v>560</v>
      </c>
      <c r="H174">
        <v>2025</v>
      </c>
      <c r="I174">
        <v>4</v>
      </c>
      <c r="J174">
        <v>2</v>
      </c>
      <c r="K174">
        <v>3</v>
      </c>
      <c r="L174" cm="1">
        <f t="array" ref="L17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5" spans="1:12" hidden="1" x14ac:dyDescent="0.3">
      <c r="A175" t="s">
        <v>735</v>
      </c>
      <c r="B175" t="s">
        <v>521</v>
      </c>
      <c r="C175" t="s">
        <v>29</v>
      </c>
      <c r="D175">
        <v>21</v>
      </c>
      <c r="E175" s="1">
        <v>45762</v>
      </c>
      <c r="F175" s="1"/>
      <c r="G175" t="s">
        <v>574</v>
      </c>
      <c r="H175">
        <v>2025</v>
      </c>
      <c r="I175">
        <v>4</v>
      </c>
      <c r="J175">
        <v>2</v>
      </c>
      <c r="K175">
        <v>3</v>
      </c>
      <c r="L175" cm="1">
        <f t="array" ref="L17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6" spans="1:12" x14ac:dyDescent="0.3">
      <c r="A176" t="s">
        <v>736</v>
      </c>
      <c r="B176" t="s">
        <v>214</v>
      </c>
      <c r="C176" t="s">
        <v>29</v>
      </c>
      <c r="D176">
        <v>69</v>
      </c>
      <c r="E176" s="1">
        <v>45763</v>
      </c>
      <c r="F176" s="1">
        <v>45773</v>
      </c>
      <c r="G176" t="s">
        <v>563</v>
      </c>
      <c r="H176">
        <v>2025</v>
      </c>
      <c r="I176">
        <v>4</v>
      </c>
      <c r="J176">
        <v>2</v>
      </c>
      <c r="K176">
        <v>3</v>
      </c>
      <c r="L176" cm="1">
        <f t="array" ref="L17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7" spans="1:12" x14ac:dyDescent="0.3">
      <c r="A177" t="s">
        <v>737</v>
      </c>
      <c r="B177" t="s">
        <v>103</v>
      </c>
      <c r="C177" t="s">
        <v>29</v>
      </c>
      <c r="D177">
        <v>86</v>
      </c>
      <c r="E177" s="1">
        <v>45765</v>
      </c>
      <c r="F177" s="1">
        <v>45774</v>
      </c>
      <c r="G177" t="s">
        <v>563</v>
      </c>
      <c r="H177">
        <v>2025</v>
      </c>
      <c r="I177">
        <v>4</v>
      </c>
      <c r="J177">
        <v>2</v>
      </c>
      <c r="K177">
        <v>3</v>
      </c>
      <c r="L177" cm="1">
        <f t="array" ref="L17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8" spans="1:12" x14ac:dyDescent="0.3">
      <c r="A178" t="s">
        <v>738</v>
      </c>
      <c r="B178" t="s">
        <v>331</v>
      </c>
      <c r="C178" t="s">
        <v>29</v>
      </c>
      <c r="D178">
        <v>79</v>
      </c>
      <c r="E178" s="1">
        <v>45765</v>
      </c>
      <c r="F178" s="1">
        <v>45771</v>
      </c>
      <c r="G178" t="s">
        <v>563</v>
      </c>
      <c r="H178">
        <v>2025</v>
      </c>
      <c r="I178">
        <v>4</v>
      </c>
      <c r="J178">
        <v>2</v>
      </c>
      <c r="K178">
        <v>3</v>
      </c>
      <c r="L178" cm="1">
        <f t="array" ref="L17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9" spans="1:12" x14ac:dyDescent="0.3">
      <c r="A179" t="s">
        <v>739</v>
      </c>
      <c r="B179" t="s">
        <v>62</v>
      </c>
      <c r="C179" t="s">
        <v>19</v>
      </c>
      <c r="D179">
        <v>87</v>
      </c>
      <c r="E179" s="1">
        <v>45765</v>
      </c>
      <c r="F179" s="1">
        <v>45768</v>
      </c>
      <c r="G179" t="s">
        <v>563</v>
      </c>
      <c r="H179">
        <v>2025</v>
      </c>
      <c r="I179">
        <v>4</v>
      </c>
      <c r="J179">
        <v>2</v>
      </c>
      <c r="K179">
        <v>3</v>
      </c>
      <c r="L179" cm="1">
        <f t="array" ref="L17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0" spans="1:12" hidden="1" x14ac:dyDescent="0.3">
      <c r="A180" t="s">
        <v>740</v>
      </c>
      <c r="B180" t="s">
        <v>486</v>
      </c>
      <c r="C180" t="s">
        <v>10</v>
      </c>
      <c r="D180">
        <v>47</v>
      </c>
      <c r="E180" s="1">
        <v>45765</v>
      </c>
      <c r="F180" s="1"/>
      <c r="G180" t="s">
        <v>574</v>
      </c>
      <c r="H180">
        <v>2025</v>
      </c>
      <c r="I180">
        <v>4</v>
      </c>
      <c r="J180">
        <v>2</v>
      </c>
      <c r="K180">
        <v>3</v>
      </c>
      <c r="L180" cm="1">
        <f t="array" ref="L18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1" spans="1:12" hidden="1" x14ac:dyDescent="0.3">
      <c r="A181" t="s">
        <v>741</v>
      </c>
      <c r="B181" t="s">
        <v>282</v>
      </c>
      <c r="C181" t="s">
        <v>22</v>
      </c>
      <c r="D181">
        <v>22</v>
      </c>
      <c r="E181" s="1">
        <v>45765</v>
      </c>
      <c r="F181" s="1"/>
      <c r="G181" t="s">
        <v>560</v>
      </c>
      <c r="H181">
        <v>2025</v>
      </c>
      <c r="I181">
        <v>4</v>
      </c>
      <c r="J181">
        <v>2</v>
      </c>
      <c r="K181">
        <v>3</v>
      </c>
      <c r="L181" cm="1">
        <f t="array" ref="L18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2" spans="1:12" x14ac:dyDescent="0.3">
      <c r="A182" t="s">
        <v>742</v>
      </c>
      <c r="B182" t="s">
        <v>288</v>
      </c>
      <c r="C182" t="s">
        <v>22</v>
      </c>
      <c r="D182">
        <v>15</v>
      </c>
      <c r="E182" s="1">
        <v>45765</v>
      </c>
      <c r="F182" s="1">
        <v>45775</v>
      </c>
      <c r="G182" t="s">
        <v>563</v>
      </c>
      <c r="H182">
        <v>2025</v>
      </c>
      <c r="I182">
        <v>4</v>
      </c>
      <c r="J182">
        <v>2</v>
      </c>
      <c r="K182">
        <v>3</v>
      </c>
      <c r="L182" cm="1">
        <f t="array" ref="L18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3" spans="1:12" x14ac:dyDescent="0.3">
      <c r="A183" t="s">
        <v>743</v>
      </c>
      <c r="B183" t="s">
        <v>450</v>
      </c>
      <c r="C183" t="s">
        <v>10</v>
      </c>
      <c r="D183">
        <v>102</v>
      </c>
      <c r="E183" s="1">
        <v>45766</v>
      </c>
      <c r="F183" s="1">
        <v>45772</v>
      </c>
      <c r="G183" t="s">
        <v>563</v>
      </c>
      <c r="H183">
        <v>2025</v>
      </c>
      <c r="I183">
        <v>4</v>
      </c>
      <c r="J183">
        <v>2</v>
      </c>
      <c r="K183">
        <v>3</v>
      </c>
      <c r="L183" cm="1">
        <f t="array" ref="L18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4" spans="1:12" x14ac:dyDescent="0.3">
      <c r="A184" t="s">
        <v>744</v>
      </c>
      <c r="B184" t="s">
        <v>123</v>
      </c>
      <c r="C184" t="s">
        <v>10</v>
      </c>
      <c r="D184">
        <v>97</v>
      </c>
      <c r="E184" s="1">
        <v>45767</v>
      </c>
      <c r="F184" s="1">
        <v>45774</v>
      </c>
      <c r="G184" t="s">
        <v>563</v>
      </c>
      <c r="H184">
        <v>2025</v>
      </c>
      <c r="I184">
        <v>4</v>
      </c>
      <c r="J184">
        <v>2</v>
      </c>
      <c r="K184">
        <v>3</v>
      </c>
      <c r="L184" cm="1">
        <f t="array" ref="L18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5" spans="1:12" hidden="1" x14ac:dyDescent="0.3">
      <c r="A185" t="s">
        <v>745</v>
      </c>
      <c r="B185" t="s">
        <v>401</v>
      </c>
      <c r="C185" t="s">
        <v>22</v>
      </c>
      <c r="D185">
        <v>107</v>
      </c>
      <c r="E185" s="1">
        <v>45769</v>
      </c>
      <c r="F185" s="1"/>
      <c r="G185" t="s">
        <v>560</v>
      </c>
      <c r="H185">
        <v>2025</v>
      </c>
      <c r="I185">
        <v>4</v>
      </c>
      <c r="J185">
        <v>2</v>
      </c>
      <c r="K185">
        <v>4</v>
      </c>
      <c r="L185" cm="1">
        <f t="array" ref="L18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6" spans="1:12" x14ac:dyDescent="0.3">
      <c r="A186" t="s">
        <v>746</v>
      </c>
      <c r="B186" t="s">
        <v>283</v>
      </c>
      <c r="C186" t="s">
        <v>10</v>
      </c>
      <c r="D186">
        <v>13</v>
      </c>
      <c r="E186" s="1">
        <v>45770</v>
      </c>
      <c r="F186" s="1">
        <v>45780</v>
      </c>
      <c r="G186" t="s">
        <v>563</v>
      </c>
      <c r="H186">
        <v>2025</v>
      </c>
      <c r="I186">
        <v>4</v>
      </c>
      <c r="J186">
        <v>2</v>
      </c>
      <c r="K186">
        <v>4</v>
      </c>
      <c r="L186" cm="1">
        <f t="array" ref="L18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7" spans="1:12" x14ac:dyDescent="0.3">
      <c r="A187" t="s">
        <v>747</v>
      </c>
      <c r="B187" t="s">
        <v>34</v>
      </c>
      <c r="C187" t="s">
        <v>29</v>
      </c>
      <c r="D187">
        <v>88</v>
      </c>
      <c r="E187" s="1">
        <v>45770</v>
      </c>
      <c r="F187" s="1">
        <v>45782</v>
      </c>
      <c r="G187" t="s">
        <v>563</v>
      </c>
      <c r="H187">
        <v>2025</v>
      </c>
      <c r="I187">
        <v>4</v>
      </c>
      <c r="J187">
        <v>2</v>
      </c>
      <c r="K187">
        <v>4</v>
      </c>
      <c r="L187" cm="1">
        <f t="array" ref="L18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8" spans="1:12" x14ac:dyDescent="0.3">
      <c r="A188" t="s">
        <v>748</v>
      </c>
      <c r="B188" t="s">
        <v>372</v>
      </c>
      <c r="C188" t="s">
        <v>10</v>
      </c>
      <c r="D188">
        <v>103</v>
      </c>
      <c r="E188" s="1">
        <v>45771</v>
      </c>
      <c r="F188" s="1">
        <v>45782</v>
      </c>
      <c r="G188" t="s">
        <v>563</v>
      </c>
      <c r="H188">
        <v>2025</v>
      </c>
      <c r="I188">
        <v>4</v>
      </c>
      <c r="J188">
        <v>2</v>
      </c>
      <c r="K188">
        <v>4</v>
      </c>
      <c r="L188" cm="1">
        <f t="array" ref="L18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9" spans="1:12" x14ac:dyDescent="0.3">
      <c r="A189" t="s">
        <v>749</v>
      </c>
      <c r="B189" t="s">
        <v>338</v>
      </c>
      <c r="C189" t="s">
        <v>22</v>
      </c>
      <c r="D189">
        <v>27</v>
      </c>
      <c r="E189" s="1">
        <v>45771</v>
      </c>
      <c r="F189" s="1">
        <v>45782</v>
      </c>
      <c r="G189" t="s">
        <v>563</v>
      </c>
      <c r="H189">
        <v>2025</v>
      </c>
      <c r="I189">
        <v>4</v>
      </c>
      <c r="J189">
        <v>2</v>
      </c>
      <c r="K189">
        <v>4</v>
      </c>
      <c r="L189" cm="1">
        <f t="array" ref="L18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0" spans="1:12" hidden="1" x14ac:dyDescent="0.3">
      <c r="A190" t="s">
        <v>750</v>
      </c>
      <c r="B190" t="s">
        <v>98</v>
      </c>
      <c r="C190" t="s">
        <v>29</v>
      </c>
      <c r="D190">
        <v>30</v>
      </c>
      <c r="E190" s="1">
        <v>45772</v>
      </c>
      <c r="F190" s="1"/>
      <c r="G190" t="s">
        <v>574</v>
      </c>
      <c r="H190">
        <v>2025</v>
      </c>
      <c r="I190">
        <v>4</v>
      </c>
      <c r="J190">
        <v>2</v>
      </c>
      <c r="K190">
        <v>4</v>
      </c>
      <c r="L190" cm="1">
        <f t="array" ref="L19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1" spans="1:12" hidden="1" x14ac:dyDescent="0.3">
      <c r="A191" t="s">
        <v>751</v>
      </c>
      <c r="B191" t="s">
        <v>389</v>
      </c>
      <c r="C191" t="s">
        <v>16</v>
      </c>
      <c r="D191">
        <v>91</v>
      </c>
      <c r="E191" s="1">
        <v>45772</v>
      </c>
      <c r="F191" s="1"/>
      <c r="G191" t="s">
        <v>560</v>
      </c>
      <c r="H191">
        <v>2025</v>
      </c>
      <c r="I191">
        <v>4</v>
      </c>
      <c r="J191">
        <v>2</v>
      </c>
      <c r="K191">
        <v>4</v>
      </c>
      <c r="L191" cm="1">
        <f t="array" ref="L19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2" spans="1:12" hidden="1" x14ac:dyDescent="0.3">
      <c r="A192" t="s">
        <v>752</v>
      </c>
      <c r="B192" t="s">
        <v>257</v>
      </c>
      <c r="C192" t="s">
        <v>22</v>
      </c>
      <c r="D192">
        <v>48</v>
      </c>
      <c r="E192" s="1">
        <v>45772</v>
      </c>
      <c r="F192" s="1"/>
      <c r="G192" t="s">
        <v>574</v>
      </c>
      <c r="H192">
        <v>2025</v>
      </c>
      <c r="I192">
        <v>4</v>
      </c>
      <c r="J192">
        <v>2</v>
      </c>
      <c r="K192">
        <v>4</v>
      </c>
      <c r="L192" cm="1">
        <f t="array" ref="L19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3" spans="1:12" hidden="1" x14ac:dyDescent="0.3">
      <c r="A193" t="s">
        <v>753</v>
      </c>
      <c r="B193" t="s">
        <v>179</v>
      </c>
      <c r="C193" t="s">
        <v>19</v>
      </c>
      <c r="D193">
        <v>38</v>
      </c>
      <c r="E193" s="1">
        <v>45773</v>
      </c>
      <c r="F193" s="1"/>
      <c r="G193" t="s">
        <v>560</v>
      </c>
      <c r="H193">
        <v>2025</v>
      </c>
      <c r="I193">
        <v>4</v>
      </c>
      <c r="J193">
        <v>2</v>
      </c>
      <c r="K193">
        <v>4</v>
      </c>
      <c r="L193" cm="1">
        <f t="array" ref="L19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4" spans="1:12" x14ac:dyDescent="0.3">
      <c r="A194" t="s">
        <v>754</v>
      </c>
      <c r="B194" t="s">
        <v>250</v>
      </c>
      <c r="C194" t="s">
        <v>19</v>
      </c>
      <c r="D194">
        <v>99</v>
      </c>
      <c r="E194" s="1">
        <v>45773</v>
      </c>
      <c r="F194" s="1">
        <v>45777</v>
      </c>
      <c r="G194" t="s">
        <v>563</v>
      </c>
      <c r="H194">
        <v>2025</v>
      </c>
      <c r="I194">
        <v>4</v>
      </c>
      <c r="J194">
        <v>2</v>
      </c>
      <c r="K194">
        <v>4</v>
      </c>
      <c r="L194" cm="1">
        <f t="array" ref="L19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5" spans="1:12" hidden="1" x14ac:dyDescent="0.3">
      <c r="A195" t="s">
        <v>755</v>
      </c>
      <c r="B195" t="s">
        <v>443</v>
      </c>
      <c r="C195" t="s">
        <v>19</v>
      </c>
      <c r="D195">
        <v>10</v>
      </c>
      <c r="E195" s="1">
        <v>45773</v>
      </c>
      <c r="F195" s="1"/>
      <c r="G195" t="s">
        <v>574</v>
      </c>
      <c r="H195">
        <v>2025</v>
      </c>
      <c r="I195">
        <v>4</v>
      </c>
      <c r="J195">
        <v>2</v>
      </c>
      <c r="K195">
        <v>4</v>
      </c>
      <c r="L195" cm="1">
        <f t="array" ref="L19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6" spans="1:12" x14ac:dyDescent="0.3">
      <c r="A196" t="s">
        <v>756</v>
      </c>
      <c r="B196" t="s">
        <v>443</v>
      </c>
      <c r="C196" t="s">
        <v>19</v>
      </c>
      <c r="D196">
        <v>94</v>
      </c>
      <c r="E196" s="1">
        <v>45774</v>
      </c>
      <c r="F196" s="1">
        <v>45785</v>
      </c>
      <c r="G196" t="s">
        <v>563</v>
      </c>
      <c r="H196">
        <v>2025</v>
      </c>
      <c r="I196">
        <v>4</v>
      </c>
      <c r="J196">
        <v>2</v>
      </c>
      <c r="K196">
        <v>4</v>
      </c>
      <c r="L196" cm="1">
        <f t="array" ref="L19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7" spans="1:12" hidden="1" x14ac:dyDescent="0.3">
      <c r="A197" t="s">
        <v>757</v>
      </c>
      <c r="B197" t="s">
        <v>449</v>
      </c>
      <c r="C197" t="s">
        <v>29</v>
      </c>
      <c r="D197">
        <v>52</v>
      </c>
      <c r="E197" s="1">
        <v>45774</v>
      </c>
      <c r="F197" s="1"/>
      <c r="G197" t="s">
        <v>560</v>
      </c>
      <c r="H197">
        <v>2025</v>
      </c>
      <c r="I197">
        <v>4</v>
      </c>
      <c r="J197">
        <v>2</v>
      </c>
      <c r="K197">
        <v>4</v>
      </c>
      <c r="L197" cm="1">
        <f t="array" ref="L19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8" spans="1:12" hidden="1" x14ac:dyDescent="0.3">
      <c r="A198" t="s">
        <v>758</v>
      </c>
      <c r="B198" t="s">
        <v>323</v>
      </c>
      <c r="C198" t="s">
        <v>16</v>
      </c>
      <c r="D198">
        <v>35</v>
      </c>
      <c r="E198" s="1">
        <v>45775</v>
      </c>
      <c r="F198" s="1"/>
      <c r="G198" t="s">
        <v>574</v>
      </c>
      <c r="H198">
        <v>2025</v>
      </c>
      <c r="I198">
        <v>4</v>
      </c>
      <c r="J198">
        <v>2</v>
      </c>
      <c r="K198">
        <v>5</v>
      </c>
      <c r="L198" cm="1">
        <f t="array" ref="L19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9" spans="1:12" x14ac:dyDescent="0.3">
      <c r="A199" t="s">
        <v>759</v>
      </c>
      <c r="B199" t="s">
        <v>188</v>
      </c>
      <c r="C199" t="s">
        <v>16</v>
      </c>
      <c r="D199">
        <v>79</v>
      </c>
      <c r="E199" s="1">
        <v>45776</v>
      </c>
      <c r="F199" s="1">
        <v>45788</v>
      </c>
      <c r="G199" t="s">
        <v>563</v>
      </c>
      <c r="H199">
        <v>2025</v>
      </c>
      <c r="I199">
        <v>4</v>
      </c>
      <c r="J199">
        <v>2</v>
      </c>
      <c r="K199">
        <v>5</v>
      </c>
      <c r="L199" cm="1">
        <f t="array" ref="L19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200" spans="1:12" x14ac:dyDescent="0.3">
      <c r="A200" t="s">
        <v>760</v>
      </c>
      <c r="B200" t="s">
        <v>432</v>
      </c>
      <c r="C200" t="s">
        <v>16</v>
      </c>
      <c r="D200">
        <v>88</v>
      </c>
      <c r="E200" s="1">
        <v>45776</v>
      </c>
      <c r="F200" s="1">
        <v>45784</v>
      </c>
      <c r="G200" t="s">
        <v>563</v>
      </c>
      <c r="H200">
        <v>2025</v>
      </c>
      <c r="I200">
        <v>4</v>
      </c>
      <c r="J200">
        <v>2</v>
      </c>
      <c r="K200">
        <v>5</v>
      </c>
      <c r="L200" cm="1">
        <f t="array" ref="L20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201" spans="1:12" x14ac:dyDescent="0.3">
      <c r="A201" t="s">
        <v>761</v>
      </c>
      <c r="B201" t="s">
        <v>251</v>
      </c>
      <c r="C201" t="s">
        <v>19</v>
      </c>
      <c r="D201">
        <v>82</v>
      </c>
      <c r="E201" s="1">
        <v>45781</v>
      </c>
      <c r="F201" s="1">
        <v>45795</v>
      </c>
      <c r="G201" t="s">
        <v>563</v>
      </c>
      <c r="H201">
        <v>2025</v>
      </c>
      <c r="I201">
        <v>5</v>
      </c>
      <c r="J201">
        <v>2</v>
      </c>
      <c r="K201">
        <v>1</v>
      </c>
      <c r="L201" cm="1">
        <f t="array" ref="L20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2" spans="1:12" hidden="1" x14ac:dyDescent="0.3">
      <c r="A202" t="s">
        <v>762</v>
      </c>
      <c r="B202" t="s">
        <v>439</v>
      </c>
      <c r="C202" t="s">
        <v>16</v>
      </c>
      <c r="D202">
        <v>37</v>
      </c>
      <c r="E202" s="1">
        <v>45782</v>
      </c>
      <c r="F202" s="1"/>
      <c r="G202" t="s">
        <v>560</v>
      </c>
      <c r="H202">
        <v>2025</v>
      </c>
      <c r="I202">
        <v>5</v>
      </c>
      <c r="J202">
        <v>2</v>
      </c>
      <c r="K202">
        <v>1</v>
      </c>
      <c r="L202" cm="1">
        <f t="array" ref="L20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3" spans="1:12" x14ac:dyDescent="0.3">
      <c r="A203" t="s">
        <v>763</v>
      </c>
      <c r="B203" t="s">
        <v>333</v>
      </c>
      <c r="C203" t="s">
        <v>19</v>
      </c>
      <c r="D203">
        <v>102</v>
      </c>
      <c r="E203" s="1">
        <v>45782</v>
      </c>
      <c r="F203" s="1">
        <v>45793</v>
      </c>
      <c r="G203" t="s">
        <v>563</v>
      </c>
      <c r="H203">
        <v>2025</v>
      </c>
      <c r="I203">
        <v>5</v>
      </c>
      <c r="J203">
        <v>2</v>
      </c>
      <c r="K203">
        <v>1</v>
      </c>
      <c r="L203" cm="1">
        <f t="array" ref="L20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4" spans="1:12" x14ac:dyDescent="0.3">
      <c r="A204" t="s">
        <v>764</v>
      </c>
      <c r="B204" t="s">
        <v>244</v>
      </c>
      <c r="C204" t="s">
        <v>16</v>
      </c>
      <c r="D204">
        <v>92</v>
      </c>
      <c r="E204" s="1">
        <v>45782</v>
      </c>
      <c r="F204" s="1">
        <v>45795</v>
      </c>
      <c r="G204" t="s">
        <v>563</v>
      </c>
      <c r="H204">
        <v>2025</v>
      </c>
      <c r="I204">
        <v>5</v>
      </c>
      <c r="J204">
        <v>2</v>
      </c>
      <c r="K204">
        <v>1</v>
      </c>
      <c r="L204" cm="1">
        <f t="array" ref="L20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5" spans="1:12" x14ac:dyDescent="0.3">
      <c r="A205" t="s">
        <v>765</v>
      </c>
      <c r="B205" t="s">
        <v>500</v>
      </c>
      <c r="C205" t="s">
        <v>29</v>
      </c>
      <c r="D205">
        <v>40</v>
      </c>
      <c r="E205" s="1">
        <v>45783</v>
      </c>
      <c r="F205" s="1">
        <v>45797</v>
      </c>
      <c r="G205" t="s">
        <v>563</v>
      </c>
      <c r="H205">
        <v>2025</v>
      </c>
      <c r="I205">
        <v>5</v>
      </c>
      <c r="J205">
        <v>2</v>
      </c>
      <c r="K205">
        <v>1</v>
      </c>
      <c r="L205" cm="1">
        <f t="array" ref="L20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6" spans="1:12" hidden="1" x14ac:dyDescent="0.3">
      <c r="A206" t="s">
        <v>766</v>
      </c>
      <c r="B206" t="s">
        <v>81</v>
      </c>
      <c r="C206" t="s">
        <v>19</v>
      </c>
      <c r="D206">
        <v>59</v>
      </c>
      <c r="E206" s="1">
        <v>45783</v>
      </c>
      <c r="F206" s="1"/>
      <c r="G206" t="s">
        <v>560</v>
      </c>
      <c r="H206">
        <v>2025</v>
      </c>
      <c r="I206">
        <v>5</v>
      </c>
      <c r="J206">
        <v>2</v>
      </c>
      <c r="K206">
        <v>1</v>
      </c>
      <c r="L206" cm="1">
        <f t="array" ref="L20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7" spans="1:12" x14ac:dyDescent="0.3">
      <c r="A207" t="s">
        <v>767</v>
      </c>
      <c r="B207" t="s">
        <v>516</v>
      </c>
      <c r="C207" t="s">
        <v>22</v>
      </c>
      <c r="D207">
        <v>90</v>
      </c>
      <c r="E207" s="1">
        <v>45784</v>
      </c>
      <c r="F207" s="1">
        <v>45797</v>
      </c>
      <c r="G207" t="s">
        <v>563</v>
      </c>
      <c r="H207">
        <v>2025</v>
      </c>
      <c r="I207">
        <v>5</v>
      </c>
      <c r="J207">
        <v>2</v>
      </c>
      <c r="K207">
        <v>1</v>
      </c>
      <c r="L207" cm="1">
        <f t="array" ref="L20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8" spans="1:12" x14ac:dyDescent="0.3">
      <c r="A208" t="s">
        <v>768</v>
      </c>
      <c r="B208" t="s">
        <v>428</v>
      </c>
      <c r="C208" t="s">
        <v>16</v>
      </c>
      <c r="D208">
        <v>97</v>
      </c>
      <c r="E208" s="1">
        <v>45784</v>
      </c>
      <c r="F208" s="1">
        <v>45793</v>
      </c>
      <c r="G208" t="s">
        <v>563</v>
      </c>
      <c r="H208">
        <v>2025</v>
      </c>
      <c r="I208">
        <v>5</v>
      </c>
      <c r="J208">
        <v>2</v>
      </c>
      <c r="K208">
        <v>1</v>
      </c>
      <c r="L208" cm="1">
        <f t="array" ref="L20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9" spans="1:12" hidden="1" x14ac:dyDescent="0.3">
      <c r="A209" t="s">
        <v>769</v>
      </c>
      <c r="B209" t="s">
        <v>55</v>
      </c>
      <c r="C209" t="s">
        <v>22</v>
      </c>
      <c r="D209">
        <v>27</v>
      </c>
      <c r="E209" s="1">
        <v>45785</v>
      </c>
      <c r="F209" s="1"/>
      <c r="G209" t="s">
        <v>574</v>
      </c>
      <c r="H209">
        <v>2025</v>
      </c>
      <c r="I209">
        <v>5</v>
      </c>
      <c r="J209">
        <v>2</v>
      </c>
      <c r="K209">
        <v>2</v>
      </c>
      <c r="L209" cm="1">
        <f t="array" ref="L20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0" spans="1:12" hidden="1" x14ac:dyDescent="0.3">
      <c r="A210" t="s">
        <v>770</v>
      </c>
      <c r="B210" t="s">
        <v>439</v>
      </c>
      <c r="C210" t="s">
        <v>10</v>
      </c>
      <c r="D210">
        <v>38</v>
      </c>
      <c r="E210" s="1">
        <v>45786</v>
      </c>
      <c r="F210" s="1"/>
      <c r="G210" t="s">
        <v>560</v>
      </c>
      <c r="H210">
        <v>2025</v>
      </c>
      <c r="I210">
        <v>5</v>
      </c>
      <c r="J210">
        <v>2</v>
      </c>
      <c r="K210">
        <v>2</v>
      </c>
      <c r="L210" cm="1">
        <f t="array" ref="L21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1" spans="1:12" x14ac:dyDescent="0.3">
      <c r="A211" t="s">
        <v>771</v>
      </c>
      <c r="B211" t="s">
        <v>476</v>
      </c>
      <c r="C211" t="s">
        <v>16</v>
      </c>
      <c r="D211">
        <v>27</v>
      </c>
      <c r="E211" s="1">
        <v>45787</v>
      </c>
      <c r="F211" s="1">
        <v>45801</v>
      </c>
      <c r="G211" t="s">
        <v>563</v>
      </c>
      <c r="H211">
        <v>2025</v>
      </c>
      <c r="I211">
        <v>5</v>
      </c>
      <c r="J211">
        <v>2</v>
      </c>
      <c r="K211">
        <v>2</v>
      </c>
      <c r="L211" cm="1">
        <f t="array" ref="L21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2" spans="1:12" x14ac:dyDescent="0.3">
      <c r="A212" t="s">
        <v>772</v>
      </c>
      <c r="B212" t="s">
        <v>193</v>
      </c>
      <c r="C212" t="s">
        <v>10</v>
      </c>
      <c r="D212">
        <v>48</v>
      </c>
      <c r="E212" s="1">
        <v>45787</v>
      </c>
      <c r="F212" s="1">
        <v>45792</v>
      </c>
      <c r="G212" t="s">
        <v>563</v>
      </c>
      <c r="H212">
        <v>2025</v>
      </c>
      <c r="I212">
        <v>5</v>
      </c>
      <c r="J212">
        <v>2</v>
      </c>
      <c r="K212">
        <v>2</v>
      </c>
      <c r="L212" cm="1">
        <f t="array" ref="L21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3" spans="1:12" x14ac:dyDescent="0.3">
      <c r="A213" t="s">
        <v>773</v>
      </c>
      <c r="B213" t="s">
        <v>101</v>
      </c>
      <c r="C213" t="s">
        <v>29</v>
      </c>
      <c r="D213">
        <v>54</v>
      </c>
      <c r="E213" s="1">
        <v>45789</v>
      </c>
      <c r="F213" s="1">
        <v>45797</v>
      </c>
      <c r="G213" t="s">
        <v>563</v>
      </c>
      <c r="H213">
        <v>2025</v>
      </c>
      <c r="I213">
        <v>5</v>
      </c>
      <c r="J213">
        <v>2</v>
      </c>
      <c r="K213">
        <v>2</v>
      </c>
      <c r="L213" cm="1">
        <f t="array" ref="L21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4" spans="1:12" x14ac:dyDescent="0.3">
      <c r="A214" t="s">
        <v>774</v>
      </c>
      <c r="B214" t="s">
        <v>50</v>
      </c>
      <c r="C214" t="s">
        <v>16</v>
      </c>
      <c r="D214">
        <v>56</v>
      </c>
      <c r="E214" s="1">
        <v>45790</v>
      </c>
      <c r="F214" s="1">
        <v>45801</v>
      </c>
      <c r="G214" t="s">
        <v>563</v>
      </c>
      <c r="H214">
        <v>2025</v>
      </c>
      <c r="I214">
        <v>5</v>
      </c>
      <c r="J214">
        <v>2</v>
      </c>
      <c r="K214">
        <v>2</v>
      </c>
      <c r="L214" cm="1">
        <f t="array" ref="L21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5" spans="1:12" x14ac:dyDescent="0.3">
      <c r="A215" t="s">
        <v>775</v>
      </c>
      <c r="B215" t="s">
        <v>7</v>
      </c>
      <c r="C215" t="s">
        <v>22</v>
      </c>
      <c r="D215">
        <v>100</v>
      </c>
      <c r="E215" s="1">
        <v>45791</v>
      </c>
      <c r="F215" s="1">
        <v>45804</v>
      </c>
      <c r="G215" t="s">
        <v>563</v>
      </c>
      <c r="H215">
        <v>2025</v>
      </c>
      <c r="I215">
        <v>5</v>
      </c>
      <c r="J215">
        <v>2</v>
      </c>
      <c r="K215">
        <v>2</v>
      </c>
      <c r="L215" cm="1">
        <f t="array" ref="L21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6" spans="1:12" hidden="1" x14ac:dyDescent="0.3">
      <c r="A216" t="s">
        <v>776</v>
      </c>
      <c r="B216" t="s">
        <v>196</v>
      </c>
      <c r="C216" t="s">
        <v>19</v>
      </c>
      <c r="D216">
        <v>32</v>
      </c>
      <c r="E216" s="1">
        <v>45791</v>
      </c>
      <c r="F216" s="1"/>
      <c r="G216" t="s">
        <v>574</v>
      </c>
      <c r="H216">
        <v>2025</v>
      </c>
      <c r="I216">
        <v>5</v>
      </c>
      <c r="J216">
        <v>2</v>
      </c>
      <c r="K216">
        <v>3</v>
      </c>
      <c r="L216" cm="1">
        <f t="array" ref="L21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7" spans="1:12" hidden="1" x14ac:dyDescent="0.3">
      <c r="A217" t="s">
        <v>777</v>
      </c>
      <c r="B217" t="s">
        <v>311</v>
      </c>
      <c r="C217" t="s">
        <v>16</v>
      </c>
      <c r="D217">
        <v>36</v>
      </c>
      <c r="E217" s="1">
        <v>45792</v>
      </c>
      <c r="F217" s="1"/>
      <c r="G217" t="s">
        <v>574</v>
      </c>
      <c r="H217">
        <v>2025</v>
      </c>
      <c r="I217">
        <v>5</v>
      </c>
      <c r="J217">
        <v>2</v>
      </c>
      <c r="K217">
        <v>3</v>
      </c>
      <c r="L217" cm="1">
        <f t="array" ref="L21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8" spans="1:12" x14ac:dyDescent="0.3">
      <c r="A218" t="s">
        <v>778</v>
      </c>
      <c r="B218" t="s">
        <v>331</v>
      </c>
      <c r="C218" t="s">
        <v>29</v>
      </c>
      <c r="D218">
        <v>91</v>
      </c>
      <c r="E218" s="1">
        <v>45792</v>
      </c>
      <c r="F218" s="1">
        <v>45806</v>
      </c>
      <c r="G218" t="s">
        <v>563</v>
      </c>
      <c r="H218">
        <v>2025</v>
      </c>
      <c r="I218">
        <v>5</v>
      </c>
      <c r="J218">
        <v>2</v>
      </c>
      <c r="K218">
        <v>3</v>
      </c>
      <c r="L218" cm="1">
        <f t="array" ref="L21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9" spans="1:12" hidden="1" x14ac:dyDescent="0.3">
      <c r="A219" t="s">
        <v>779</v>
      </c>
      <c r="B219" t="s">
        <v>528</v>
      </c>
      <c r="C219" t="s">
        <v>29</v>
      </c>
      <c r="D219">
        <v>20</v>
      </c>
      <c r="E219" s="1">
        <v>45792</v>
      </c>
      <c r="F219" s="1"/>
      <c r="G219" t="s">
        <v>574</v>
      </c>
      <c r="H219">
        <v>2025</v>
      </c>
      <c r="I219">
        <v>5</v>
      </c>
      <c r="J219">
        <v>2</v>
      </c>
      <c r="K219">
        <v>3</v>
      </c>
      <c r="L219" cm="1">
        <f t="array" ref="L21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0" spans="1:12" x14ac:dyDescent="0.3">
      <c r="A220" t="s">
        <v>780</v>
      </c>
      <c r="B220" t="s">
        <v>176</v>
      </c>
      <c r="C220" t="s">
        <v>29</v>
      </c>
      <c r="D220">
        <v>88</v>
      </c>
      <c r="E220" s="1">
        <v>45792</v>
      </c>
      <c r="F220" s="1">
        <v>45795</v>
      </c>
      <c r="G220" t="s">
        <v>563</v>
      </c>
      <c r="H220">
        <v>2025</v>
      </c>
      <c r="I220">
        <v>5</v>
      </c>
      <c r="J220">
        <v>2</v>
      </c>
      <c r="K220">
        <v>3</v>
      </c>
      <c r="L220" cm="1">
        <f t="array" ref="L22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1" spans="1:12" x14ac:dyDescent="0.3">
      <c r="A221" t="s">
        <v>781</v>
      </c>
      <c r="B221" t="s">
        <v>397</v>
      </c>
      <c r="C221" t="s">
        <v>29</v>
      </c>
      <c r="D221">
        <v>38</v>
      </c>
      <c r="E221" s="1">
        <v>45793</v>
      </c>
      <c r="F221" s="1">
        <v>45798</v>
      </c>
      <c r="G221" t="s">
        <v>563</v>
      </c>
      <c r="H221">
        <v>2025</v>
      </c>
      <c r="I221">
        <v>5</v>
      </c>
      <c r="J221">
        <v>2</v>
      </c>
      <c r="K221">
        <v>3</v>
      </c>
      <c r="L221" cm="1">
        <f t="array" ref="L22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2" spans="1:12" x14ac:dyDescent="0.3">
      <c r="A222" t="s">
        <v>782</v>
      </c>
      <c r="B222" t="s">
        <v>119</v>
      </c>
      <c r="C222" t="s">
        <v>29</v>
      </c>
      <c r="D222">
        <v>82</v>
      </c>
      <c r="E222" s="1">
        <v>45795</v>
      </c>
      <c r="F222" s="1">
        <v>45802</v>
      </c>
      <c r="G222" t="s">
        <v>563</v>
      </c>
      <c r="H222">
        <v>2025</v>
      </c>
      <c r="I222">
        <v>5</v>
      </c>
      <c r="J222">
        <v>2</v>
      </c>
      <c r="K222">
        <v>3</v>
      </c>
      <c r="L222" cm="1">
        <f t="array" ref="L22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3" spans="1:12" x14ac:dyDescent="0.3">
      <c r="A223" t="s">
        <v>783</v>
      </c>
      <c r="B223" t="s">
        <v>268</v>
      </c>
      <c r="C223" t="s">
        <v>22</v>
      </c>
      <c r="D223">
        <v>101</v>
      </c>
      <c r="E223" s="1">
        <v>45797</v>
      </c>
      <c r="F223" s="1">
        <v>45803</v>
      </c>
      <c r="G223" t="s">
        <v>563</v>
      </c>
      <c r="H223">
        <v>2025</v>
      </c>
      <c r="I223">
        <v>5</v>
      </c>
      <c r="J223">
        <v>2</v>
      </c>
      <c r="K223">
        <v>3</v>
      </c>
      <c r="L223" cm="1">
        <f t="array" ref="L22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4" spans="1:12" x14ac:dyDescent="0.3">
      <c r="A224" t="s">
        <v>784</v>
      </c>
      <c r="B224" t="s">
        <v>141</v>
      </c>
      <c r="C224" t="s">
        <v>16</v>
      </c>
      <c r="D224">
        <v>71</v>
      </c>
      <c r="E224" s="1">
        <v>45797</v>
      </c>
      <c r="F224" s="1">
        <v>45804</v>
      </c>
      <c r="G224" t="s">
        <v>563</v>
      </c>
      <c r="H224">
        <v>2025</v>
      </c>
      <c r="I224">
        <v>5</v>
      </c>
      <c r="J224">
        <v>2</v>
      </c>
      <c r="K224">
        <v>3</v>
      </c>
      <c r="L224" cm="1">
        <f t="array" ref="L22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5" spans="1:12" hidden="1" x14ac:dyDescent="0.3">
      <c r="A225" t="s">
        <v>785</v>
      </c>
      <c r="B225" t="s">
        <v>477</v>
      </c>
      <c r="C225" t="s">
        <v>10</v>
      </c>
      <c r="D225">
        <v>17</v>
      </c>
      <c r="E225" s="1">
        <v>45797</v>
      </c>
      <c r="F225" s="1"/>
      <c r="G225" t="s">
        <v>574</v>
      </c>
      <c r="H225">
        <v>2025</v>
      </c>
      <c r="I225">
        <v>5</v>
      </c>
      <c r="J225">
        <v>2</v>
      </c>
      <c r="K225">
        <v>3</v>
      </c>
      <c r="L225" cm="1">
        <f t="array" ref="L22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6" spans="1:12" x14ac:dyDescent="0.3">
      <c r="A226" t="s">
        <v>786</v>
      </c>
      <c r="B226" t="s">
        <v>456</v>
      </c>
      <c r="C226" t="s">
        <v>16</v>
      </c>
      <c r="D226">
        <v>36</v>
      </c>
      <c r="E226" s="1">
        <v>45798</v>
      </c>
      <c r="F226" s="1">
        <v>45811</v>
      </c>
      <c r="G226" t="s">
        <v>563</v>
      </c>
      <c r="H226">
        <v>2025</v>
      </c>
      <c r="I226">
        <v>5</v>
      </c>
      <c r="J226">
        <v>2</v>
      </c>
      <c r="K226">
        <v>3</v>
      </c>
      <c r="L226" cm="1">
        <f t="array" ref="L22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7" spans="1:12" hidden="1" x14ac:dyDescent="0.3">
      <c r="A227" t="s">
        <v>787</v>
      </c>
      <c r="B227" t="s">
        <v>214</v>
      </c>
      <c r="C227" t="s">
        <v>29</v>
      </c>
      <c r="D227">
        <v>72</v>
      </c>
      <c r="E227" s="1">
        <v>45799</v>
      </c>
      <c r="F227" s="1"/>
      <c r="G227" t="s">
        <v>574</v>
      </c>
      <c r="H227">
        <v>2025</v>
      </c>
      <c r="I227">
        <v>5</v>
      </c>
      <c r="J227">
        <v>2</v>
      </c>
      <c r="K227">
        <v>4</v>
      </c>
      <c r="L227" cm="1">
        <f t="array" ref="L22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8" spans="1:12" x14ac:dyDescent="0.3">
      <c r="A228" t="s">
        <v>788</v>
      </c>
      <c r="B228" t="s">
        <v>205</v>
      </c>
      <c r="C228" t="s">
        <v>22</v>
      </c>
      <c r="D228">
        <v>75</v>
      </c>
      <c r="E228" s="1">
        <v>45800</v>
      </c>
      <c r="F228" s="1">
        <v>45810</v>
      </c>
      <c r="G228" t="s">
        <v>563</v>
      </c>
      <c r="H228">
        <v>2025</v>
      </c>
      <c r="I228">
        <v>5</v>
      </c>
      <c r="J228">
        <v>2</v>
      </c>
      <c r="K228">
        <v>4</v>
      </c>
      <c r="L228" cm="1">
        <f t="array" ref="L22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9" spans="1:12" x14ac:dyDescent="0.3">
      <c r="A229" t="s">
        <v>789</v>
      </c>
      <c r="B229" t="s">
        <v>24</v>
      </c>
      <c r="C229" t="s">
        <v>16</v>
      </c>
      <c r="D229">
        <v>36</v>
      </c>
      <c r="E229" s="1">
        <v>45800</v>
      </c>
      <c r="F229" s="1">
        <v>45807</v>
      </c>
      <c r="G229" t="s">
        <v>563</v>
      </c>
      <c r="H229">
        <v>2025</v>
      </c>
      <c r="I229">
        <v>5</v>
      </c>
      <c r="J229">
        <v>2</v>
      </c>
      <c r="K229">
        <v>4</v>
      </c>
      <c r="L229" cm="1">
        <f t="array" ref="L22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0" spans="1:12" x14ac:dyDescent="0.3">
      <c r="A230" t="s">
        <v>790</v>
      </c>
      <c r="B230" t="s">
        <v>170</v>
      </c>
      <c r="C230" t="s">
        <v>10</v>
      </c>
      <c r="D230">
        <v>11</v>
      </c>
      <c r="E230" s="1">
        <v>45800</v>
      </c>
      <c r="F230" s="1">
        <v>45813</v>
      </c>
      <c r="G230" t="s">
        <v>563</v>
      </c>
      <c r="H230">
        <v>2025</v>
      </c>
      <c r="I230">
        <v>5</v>
      </c>
      <c r="J230">
        <v>2</v>
      </c>
      <c r="K230">
        <v>4</v>
      </c>
      <c r="L230" cm="1">
        <f t="array" ref="L23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1" spans="1:12" x14ac:dyDescent="0.3">
      <c r="A231" t="s">
        <v>791</v>
      </c>
      <c r="B231" t="s">
        <v>503</v>
      </c>
      <c r="C231" t="s">
        <v>22</v>
      </c>
      <c r="D231">
        <v>25</v>
      </c>
      <c r="E231" s="1">
        <v>45801</v>
      </c>
      <c r="F231" s="1">
        <v>45813</v>
      </c>
      <c r="G231" t="s">
        <v>563</v>
      </c>
      <c r="H231">
        <v>2025</v>
      </c>
      <c r="I231">
        <v>5</v>
      </c>
      <c r="J231">
        <v>2</v>
      </c>
      <c r="K231">
        <v>4</v>
      </c>
      <c r="L231" cm="1">
        <f t="array" ref="L23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2" spans="1:12" hidden="1" x14ac:dyDescent="0.3">
      <c r="A232" t="s">
        <v>792</v>
      </c>
      <c r="B232" t="s">
        <v>407</v>
      </c>
      <c r="C232" t="s">
        <v>16</v>
      </c>
      <c r="D232">
        <v>16</v>
      </c>
      <c r="E232" s="1">
        <v>45801</v>
      </c>
      <c r="F232" s="1"/>
      <c r="G232" t="s">
        <v>560</v>
      </c>
      <c r="H232">
        <v>2025</v>
      </c>
      <c r="I232">
        <v>5</v>
      </c>
      <c r="J232">
        <v>2</v>
      </c>
      <c r="K232">
        <v>4</v>
      </c>
      <c r="L232" cm="1">
        <f t="array" ref="L23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3" spans="1:12" x14ac:dyDescent="0.3">
      <c r="A233" t="s">
        <v>793</v>
      </c>
      <c r="B233" t="s">
        <v>158</v>
      </c>
      <c r="C233" t="s">
        <v>29</v>
      </c>
      <c r="D233">
        <v>45</v>
      </c>
      <c r="E233" s="1">
        <v>45802</v>
      </c>
      <c r="F233" s="1">
        <v>45808</v>
      </c>
      <c r="G233" t="s">
        <v>563</v>
      </c>
      <c r="H233">
        <v>2025</v>
      </c>
      <c r="I233">
        <v>5</v>
      </c>
      <c r="J233">
        <v>2</v>
      </c>
      <c r="K233">
        <v>4</v>
      </c>
      <c r="L233" cm="1">
        <f t="array" ref="L23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4" spans="1:12" x14ac:dyDescent="0.3">
      <c r="A234" t="s">
        <v>794</v>
      </c>
      <c r="B234" t="s">
        <v>306</v>
      </c>
      <c r="C234" t="s">
        <v>29</v>
      </c>
      <c r="D234">
        <v>86</v>
      </c>
      <c r="E234" s="1">
        <v>45802</v>
      </c>
      <c r="F234" s="1">
        <v>45811</v>
      </c>
      <c r="G234" t="s">
        <v>563</v>
      </c>
      <c r="H234">
        <v>2025</v>
      </c>
      <c r="I234">
        <v>5</v>
      </c>
      <c r="J234">
        <v>2</v>
      </c>
      <c r="K234">
        <v>4</v>
      </c>
      <c r="L234" cm="1">
        <f t="array" ref="L23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5" spans="1:12" hidden="1" x14ac:dyDescent="0.3">
      <c r="A235" t="s">
        <v>795</v>
      </c>
      <c r="B235" t="s">
        <v>315</v>
      </c>
      <c r="C235" t="s">
        <v>16</v>
      </c>
      <c r="D235">
        <v>17</v>
      </c>
      <c r="E235" s="1">
        <v>45803</v>
      </c>
      <c r="F235" s="1"/>
      <c r="G235" t="s">
        <v>560</v>
      </c>
      <c r="H235">
        <v>2025</v>
      </c>
      <c r="I235">
        <v>5</v>
      </c>
      <c r="J235">
        <v>2</v>
      </c>
      <c r="K235">
        <v>4</v>
      </c>
      <c r="L235" cm="1">
        <f t="array" ref="L23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6" spans="1:12" x14ac:dyDescent="0.3">
      <c r="A236" t="s">
        <v>796</v>
      </c>
      <c r="B236" t="s">
        <v>483</v>
      </c>
      <c r="C236" t="s">
        <v>19</v>
      </c>
      <c r="D236">
        <v>82</v>
      </c>
      <c r="E236" s="1">
        <v>45803</v>
      </c>
      <c r="F236" s="1">
        <v>45814</v>
      </c>
      <c r="G236" t="s">
        <v>563</v>
      </c>
      <c r="H236">
        <v>2025</v>
      </c>
      <c r="I236">
        <v>5</v>
      </c>
      <c r="J236">
        <v>2</v>
      </c>
      <c r="K236">
        <v>4</v>
      </c>
      <c r="L236" cm="1">
        <f t="array" ref="L23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7" spans="1:12" x14ac:dyDescent="0.3">
      <c r="A237" t="s">
        <v>797</v>
      </c>
      <c r="B237" t="s">
        <v>230</v>
      </c>
      <c r="C237" t="s">
        <v>22</v>
      </c>
      <c r="D237">
        <v>76</v>
      </c>
      <c r="E237" s="1">
        <v>45804</v>
      </c>
      <c r="F237" s="1">
        <v>45813</v>
      </c>
      <c r="G237" t="s">
        <v>563</v>
      </c>
      <c r="H237">
        <v>2025</v>
      </c>
      <c r="I237">
        <v>5</v>
      </c>
      <c r="J237">
        <v>2</v>
      </c>
      <c r="K237">
        <v>4</v>
      </c>
      <c r="L237" cm="1">
        <f t="array" ref="L23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8" spans="1:12" x14ac:dyDescent="0.3">
      <c r="A238" t="s">
        <v>798</v>
      </c>
      <c r="B238" t="s">
        <v>528</v>
      </c>
      <c r="C238" t="s">
        <v>10</v>
      </c>
      <c r="D238">
        <v>39</v>
      </c>
      <c r="E238" s="1">
        <v>45804</v>
      </c>
      <c r="F238" s="1">
        <v>45814</v>
      </c>
      <c r="G238" t="s">
        <v>563</v>
      </c>
      <c r="H238">
        <v>2025</v>
      </c>
      <c r="I238">
        <v>5</v>
      </c>
      <c r="J238">
        <v>2</v>
      </c>
      <c r="K238">
        <v>4</v>
      </c>
      <c r="L238" cm="1">
        <f t="array" ref="L23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9" spans="1:12" hidden="1" x14ac:dyDescent="0.3">
      <c r="A239" t="s">
        <v>799</v>
      </c>
      <c r="B239" t="s">
        <v>197</v>
      </c>
      <c r="C239" t="s">
        <v>16</v>
      </c>
      <c r="D239">
        <v>39</v>
      </c>
      <c r="E239" s="1">
        <v>45806</v>
      </c>
      <c r="F239" s="1"/>
      <c r="G239" t="s">
        <v>574</v>
      </c>
      <c r="H239">
        <v>2025</v>
      </c>
      <c r="I239">
        <v>5</v>
      </c>
      <c r="J239">
        <v>2</v>
      </c>
      <c r="K239">
        <v>5</v>
      </c>
      <c r="L239" cm="1">
        <f t="array" ref="L23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40" spans="1:12" x14ac:dyDescent="0.3">
      <c r="A240" t="s">
        <v>800</v>
      </c>
      <c r="B240" t="s">
        <v>335</v>
      </c>
      <c r="C240" t="s">
        <v>22</v>
      </c>
      <c r="D240">
        <v>47</v>
      </c>
      <c r="E240" s="1">
        <v>45806</v>
      </c>
      <c r="F240" s="1">
        <v>45811</v>
      </c>
      <c r="G240" t="s">
        <v>563</v>
      </c>
      <c r="H240">
        <v>2025</v>
      </c>
      <c r="I240">
        <v>5</v>
      </c>
      <c r="J240">
        <v>2</v>
      </c>
      <c r="K240">
        <v>5</v>
      </c>
      <c r="L240" cm="1">
        <f t="array" ref="L24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41" spans="1:12" x14ac:dyDescent="0.3">
      <c r="A241" t="s">
        <v>801</v>
      </c>
      <c r="B241" t="s">
        <v>46</v>
      </c>
      <c r="C241" t="s">
        <v>10</v>
      </c>
      <c r="D241">
        <v>43</v>
      </c>
      <c r="E241" s="1">
        <v>45807</v>
      </c>
      <c r="F241" s="1">
        <v>45813</v>
      </c>
      <c r="G241" t="s">
        <v>563</v>
      </c>
      <c r="H241">
        <v>2025</v>
      </c>
      <c r="I241">
        <v>5</v>
      </c>
      <c r="J241">
        <v>2</v>
      </c>
      <c r="K241">
        <v>5</v>
      </c>
      <c r="L241" cm="1">
        <f t="array" ref="L24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42" spans="1:12" x14ac:dyDescent="0.3">
      <c r="A242" t="s">
        <v>802</v>
      </c>
      <c r="B242" t="s">
        <v>461</v>
      </c>
      <c r="C242" t="s">
        <v>10</v>
      </c>
      <c r="D242">
        <v>34</v>
      </c>
      <c r="E242" s="1">
        <v>45808</v>
      </c>
      <c r="F242" s="1">
        <v>45815</v>
      </c>
      <c r="G242" t="s">
        <v>563</v>
      </c>
      <c r="H242">
        <v>2025</v>
      </c>
      <c r="I242">
        <v>5</v>
      </c>
      <c r="J242">
        <v>2</v>
      </c>
      <c r="K242">
        <v>5</v>
      </c>
      <c r="L242" cm="1">
        <f t="array" ref="L24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43" spans="1:12" hidden="1" x14ac:dyDescent="0.3">
      <c r="A243" t="s">
        <v>803</v>
      </c>
      <c r="B243" t="s">
        <v>495</v>
      </c>
      <c r="C243" t="s">
        <v>19</v>
      </c>
      <c r="D243">
        <v>97</v>
      </c>
      <c r="E243" s="1">
        <v>45808</v>
      </c>
      <c r="F243" s="1"/>
      <c r="G243" t="s">
        <v>560</v>
      </c>
      <c r="H243">
        <v>2025</v>
      </c>
      <c r="I243">
        <v>6</v>
      </c>
      <c r="J243">
        <v>2</v>
      </c>
      <c r="K243">
        <v>1</v>
      </c>
      <c r="L243" cm="1">
        <f t="array" ref="L24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44" spans="1:12" x14ac:dyDescent="0.3">
      <c r="A244" t="s">
        <v>804</v>
      </c>
      <c r="B244" t="s">
        <v>70</v>
      </c>
      <c r="C244" t="s">
        <v>29</v>
      </c>
      <c r="D244">
        <v>45</v>
      </c>
      <c r="E244" s="1">
        <v>45808</v>
      </c>
      <c r="F244" s="1">
        <v>45816</v>
      </c>
      <c r="G244" t="s">
        <v>563</v>
      </c>
      <c r="H244">
        <v>2025</v>
      </c>
      <c r="I244">
        <v>5</v>
      </c>
      <c r="J244">
        <v>2</v>
      </c>
      <c r="K244">
        <v>5</v>
      </c>
      <c r="L244" cm="1">
        <f t="array" ref="L24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45" spans="1:12" hidden="1" x14ac:dyDescent="0.3">
      <c r="A245" t="s">
        <v>805</v>
      </c>
      <c r="B245" t="s">
        <v>328</v>
      </c>
      <c r="C245" t="s">
        <v>29</v>
      </c>
      <c r="D245">
        <v>91</v>
      </c>
      <c r="E245" s="1">
        <v>45810</v>
      </c>
      <c r="F245" s="1"/>
      <c r="G245" t="s">
        <v>560</v>
      </c>
      <c r="H245">
        <v>2025</v>
      </c>
      <c r="I245">
        <v>6</v>
      </c>
      <c r="J245">
        <v>2</v>
      </c>
      <c r="K245">
        <v>1</v>
      </c>
      <c r="L245" cm="1">
        <f t="array" ref="L24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46" spans="1:12" hidden="1" x14ac:dyDescent="0.3">
      <c r="A246" t="s">
        <v>806</v>
      </c>
      <c r="B246" t="s">
        <v>125</v>
      </c>
      <c r="C246" t="s">
        <v>19</v>
      </c>
      <c r="D246">
        <v>12</v>
      </c>
      <c r="E246" s="1">
        <v>45810</v>
      </c>
      <c r="F246" s="1"/>
      <c r="G246" t="s">
        <v>574</v>
      </c>
      <c r="H246">
        <v>2025</v>
      </c>
      <c r="I246">
        <v>6</v>
      </c>
      <c r="J246">
        <v>2</v>
      </c>
      <c r="K246">
        <v>1</v>
      </c>
      <c r="L246" cm="1">
        <f t="array" ref="L24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47" spans="1:12" x14ac:dyDescent="0.3">
      <c r="A247" t="s">
        <v>807</v>
      </c>
      <c r="B247" t="s">
        <v>37</v>
      </c>
      <c r="C247" t="s">
        <v>10</v>
      </c>
      <c r="D247">
        <v>22</v>
      </c>
      <c r="E247" s="1">
        <v>45810</v>
      </c>
      <c r="F247" s="1">
        <v>45823</v>
      </c>
      <c r="G247" t="s">
        <v>563</v>
      </c>
      <c r="H247">
        <v>2025</v>
      </c>
      <c r="I247">
        <v>6</v>
      </c>
      <c r="J247">
        <v>2</v>
      </c>
      <c r="K247">
        <v>1</v>
      </c>
      <c r="L247" cm="1">
        <f t="array" ref="L24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48" spans="1:12" hidden="1" x14ac:dyDescent="0.3">
      <c r="A248" t="s">
        <v>808</v>
      </c>
      <c r="B248" t="s">
        <v>203</v>
      </c>
      <c r="C248" t="s">
        <v>16</v>
      </c>
      <c r="D248">
        <v>87</v>
      </c>
      <c r="E248" s="1">
        <v>45812</v>
      </c>
      <c r="F248" s="1"/>
      <c r="G248" t="s">
        <v>574</v>
      </c>
      <c r="H248">
        <v>2025</v>
      </c>
      <c r="I248">
        <v>6</v>
      </c>
      <c r="J248">
        <v>2</v>
      </c>
      <c r="K248">
        <v>1</v>
      </c>
      <c r="L248" cm="1">
        <f t="array" ref="L24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49" spans="1:12" x14ac:dyDescent="0.3">
      <c r="A249" t="s">
        <v>809</v>
      </c>
      <c r="B249" t="s">
        <v>428</v>
      </c>
      <c r="C249" t="s">
        <v>19</v>
      </c>
      <c r="D249">
        <v>46</v>
      </c>
      <c r="E249" s="1">
        <v>45813</v>
      </c>
      <c r="F249" s="1">
        <v>45827</v>
      </c>
      <c r="G249" t="s">
        <v>563</v>
      </c>
      <c r="H249">
        <v>2025</v>
      </c>
      <c r="I249">
        <v>6</v>
      </c>
      <c r="J249">
        <v>2</v>
      </c>
      <c r="K249">
        <v>1</v>
      </c>
      <c r="L249" cm="1">
        <f t="array" ref="L24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0" spans="1:12" x14ac:dyDescent="0.3">
      <c r="A250" t="s">
        <v>810</v>
      </c>
      <c r="B250" t="s">
        <v>398</v>
      </c>
      <c r="C250" t="s">
        <v>22</v>
      </c>
      <c r="D250">
        <v>74</v>
      </c>
      <c r="E250" s="1">
        <v>45813</v>
      </c>
      <c r="F250" s="1">
        <v>45822</v>
      </c>
      <c r="G250" t="s">
        <v>563</v>
      </c>
      <c r="H250">
        <v>2025</v>
      </c>
      <c r="I250">
        <v>6</v>
      </c>
      <c r="J250">
        <v>2</v>
      </c>
      <c r="K250">
        <v>1</v>
      </c>
      <c r="L250" cm="1">
        <f t="array" ref="L25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1" spans="1:12" hidden="1" x14ac:dyDescent="0.3">
      <c r="A251" t="s">
        <v>811</v>
      </c>
      <c r="B251" t="s">
        <v>232</v>
      </c>
      <c r="C251" t="s">
        <v>10</v>
      </c>
      <c r="D251">
        <v>31</v>
      </c>
      <c r="E251" s="1">
        <v>45815</v>
      </c>
      <c r="F251" s="1"/>
      <c r="G251" t="s">
        <v>560</v>
      </c>
      <c r="H251">
        <v>2025</v>
      </c>
      <c r="I251">
        <v>6</v>
      </c>
      <c r="J251">
        <v>2</v>
      </c>
      <c r="K251">
        <v>1</v>
      </c>
      <c r="L251" cm="1">
        <f t="array" ref="L25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2" spans="1:12" x14ac:dyDescent="0.3">
      <c r="A252" t="s">
        <v>812</v>
      </c>
      <c r="B252" t="s">
        <v>293</v>
      </c>
      <c r="C252" t="s">
        <v>10</v>
      </c>
      <c r="D252">
        <v>62</v>
      </c>
      <c r="E252" s="1">
        <v>45816</v>
      </c>
      <c r="F252" s="1">
        <v>45826</v>
      </c>
      <c r="G252" t="s">
        <v>563</v>
      </c>
      <c r="H252">
        <v>2025</v>
      </c>
      <c r="I252">
        <v>6</v>
      </c>
      <c r="J252">
        <v>2</v>
      </c>
      <c r="K252">
        <v>2</v>
      </c>
      <c r="L252" cm="1">
        <f t="array" ref="L25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3" spans="1:12" hidden="1" x14ac:dyDescent="0.3">
      <c r="A253" t="s">
        <v>813</v>
      </c>
      <c r="B253" t="s">
        <v>348</v>
      </c>
      <c r="C253" t="s">
        <v>29</v>
      </c>
      <c r="D253">
        <v>99</v>
      </c>
      <c r="E253" s="1">
        <v>45817</v>
      </c>
      <c r="F253" s="1"/>
      <c r="G253" t="s">
        <v>574</v>
      </c>
      <c r="H253">
        <v>2025</v>
      </c>
      <c r="I253">
        <v>6</v>
      </c>
      <c r="J253">
        <v>2</v>
      </c>
      <c r="K253">
        <v>2</v>
      </c>
      <c r="L253" cm="1">
        <f t="array" ref="L25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4" spans="1:12" hidden="1" x14ac:dyDescent="0.3">
      <c r="A254" t="s">
        <v>814</v>
      </c>
      <c r="B254" t="s">
        <v>255</v>
      </c>
      <c r="C254" t="s">
        <v>29</v>
      </c>
      <c r="D254">
        <v>47</v>
      </c>
      <c r="E254" s="1">
        <v>45818</v>
      </c>
      <c r="F254" s="1"/>
      <c r="G254" t="s">
        <v>574</v>
      </c>
      <c r="H254">
        <v>2025</v>
      </c>
      <c r="I254">
        <v>6</v>
      </c>
      <c r="J254">
        <v>2</v>
      </c>
      <c r="K254">
        <v>2</v>
      </c>
      <c r="L254" cm="1">
        <f t="array" ref="L25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5" spans="1:12" x14ac:dyDescent="0.3">
      <c r="A255" t="s">
        <v>815</v>
      </c>
      <c r="B255" t="s">
        <v>259</v>
      </c>
      <c r="C255" t="s">
        <v>29</v>
      </c>
      <c r="D255">
        <v>92</v>
      </c>
      <c r="E255" s="1">
        <v>45819</v>
      </c>
      <c r="F255" s="1">
        <v>45822</v>
      </c>
      <c r="G255" t="s">
        <v>563</v>
      </c>
      <c r="H255">
        <v>2025</v>
      </c>
      <c r="I255">
        <v>6</v>
      </c>
      <c r="J255">
        <v>2</v>
      </c>
      <c r="K255">
        <v>2</v>
      </c>
      <c r="L255" cm="1">
        <f t="array" ref="L25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6" spans="1:12" x14ac:dyDescent="0.3">
      <c r="A256" t="s">
        <v>816</v>
      </c>
      <c r="B256" t="s">
        <v>176</v>
      </c>
      <c r="C256" t="s">
        <v>19</v>
      </c>
      <c r="D256">
        <v>61</v>
      </c>
      <c r="E256" s="1">
        <v>45820</v>
      </c>
      <c r="F256" s="1">
        <v>45824</v>
      </c>
      <c r="G256" t="s">
        <v>563</v>
      </c>
      <c r="H256">
        <v>2025</v>
      </c>
      <c r="I256">
        <v>6</v>
      </c>
      <c r="J256">
        <v>2</v>
      </c>
      <c r="K256">
        <v>2</v>
      </c>
      <c r="L256" cm="1">
        <f t="array" ref="L25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7" spans="1:12" x14ac:dyDescent="0.3">
      <c r="A257" t="s">
        <v>817</v>
      </c>
      <c r="B257" t="s">
        <v>444</v>
      </c>
      <c r="C257" t="s">
        <v>22</v>
      </c>
      <c r="D257">
        <v>85</v>
      </c>
      <c r="E257" s="1">
        <v>45824</v>
      </c>
      <c r="F257" s="1">
        <v>45837</v>
      </c>
      <c r="G257" t="s">
        <v>563</v>
      </c>
      <c r="H257">
        <v>2025</v>
      </c>
      <c r="I257">
        <v>6</v>
      </c>
      <c r="J257">
        <v>2</v>
      </c>
      <c r="K257">
        <v>3</v>
      </c>
      <c r="L257" cm="1">
        <f t="array" ref="L25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8" spans="1:12" hidden="1" x14ac:dyDescent="0.3">
      <c r="A258" t="s">
        <v>818</v>
      </c>
      <c r="B258" t="s">
        <v>330</v>
      </c>
      <c r="C258" t="s">
        <v>19</v>
      </c>
      <c r="D258">
        <v>108</v>
      </c>
      <c r="E258" s="1">
        <v>45824</v>
      </c>
      <c r="F258" s="1"/>
      <c r="G258" t="s">
        <v>574</v>
      </c>
      <c r="H258">
        <v>2025</v>
      </c>
      <c r="I258">
        <v>6</v>
      </c>
      <c r="J258">
        <v>2</v>
      </c>
      <c r="K258">
        <v>3</v>
      </c>
      <c r="L258" cm="1">
        <f t="array" ref="L25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9" spans="1:12" hidden="1" x14ac:dyDescent="0.3">
      <c r="A259" t="s">
        <v>819</v>
      </c>
      <c r="B259" t="s">
        <v>512</v>
      </c>
      <c r="C259" t="s">
        <v>19</v>
      </c>
      <c r="D259">
        <v>82</v>
      </c>
      <c r="E259" s="1">
        <v>45824</v>
      </c>
      <c r="F259" s="1"/>
      <c r="G259" t="s">
        <v>560</v>
      </c>
      <c r="H259">
        <v>2025</v>
      </c>
      <c r="I259">
        <v>6</v>
      </c>
      <c r="J259">
        <v>2</v>
      </c>
      <c r="K259">
        <v>3</v>
      </c>
      <c r="L259" cm="1">
        <f t="array" ref="L25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0" spans="1:12" x14ac:dyDescent="0.3">
      <c r="A260" t="s">
        <v>820</v>
      </c>
      <c r="B260" t="s">
        <v>91</v>
      </c>
      <c r="C260" t="s">
        <v>19</v>
      </c>
      <c r="D260">
        <v>51</v>
      </c>
      <c r="E260" s="1">
        <v>45827</v>
      </c>
      <c r="F260" s="1">
        <v>45832</v>
      </c>
      <c r="G260" t="s">
        <v>563</v>
      </c>
      <c r="H260">
        <v>2025</v>
      </c>
      <c r="I260">
        <v>6</v>
      </c>
      <c r="J260">
        <v>2</v>
      </c>
      <c r="K260">
        <v>3</v>
      </c>
      <c r="L260" cm="1">
        <f t="array" ref="L26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1" spans="1:12" x14ac:dyDescent="0.3">
      <c r="A261" t="s">
        <v>821</v>
      </c>
      <c r="B261" t="s">
        <v>70</v>
      </c>
      <c r="C261" t="s">
        <v>16</v>
      </c>
      <c r="D261">
        <v>97</v>
      </c>
      <c r="E261" s="1">
        <v>45827</v>
      </c>
      <c r="F261" s="1">
        <v>45832</v>
      </c>
      <c r="G261" t="s">
        <v>563</v>
      </c>
      <c r="H261">
        <v>2025</v>
      </c>
      <c r="I261">
        <v>6</v>
      </c>
      <c r="J261">
        <v>2</v>
      </c>
      <c r="K261">
        <v>3</v>
      </c>
      <c r="L261" cm="1">
        <f t="array" ref="L26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2" spans="1:12" hidden="1" x14ac:dyDescent="0.3">
      <c r="A262" t="s">
        <v>822</v>
      </c>
      <c r="B262" t="s">
        <v>423</v>
      </c>
      <c r="C262" t="s">
        <v>19</v>
      </c>
      <c r="D262">
        <v>51</v>
      </c>
      <c r="E262" s="1">
        <v>45827</v>
      </c>
      <c r="F262" s="1"/>
      <c r="G262" t="s">
        <v>560</v>
      </c>
      <c r="H262">
        <v>2025</v>
      </c>
      <c r="I262">
        <v>6</v>
      </c>
      <c r="J262">
        <v>2</v>
      </c>
      <c r="K262">
        <v>3</v>
      </c>
      <c r="L262" cm="1">
        <f t="array" ref="L26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3" spans="1:12" hidden="1" x14ac:dyDescent="0.3">
      <c r="A263" t="s">
        <v>823</v>
      </c>
      <c r="B263" t="s">
        <v>250</v>
      </c>
      <c r="C263" t="s">
        <v>10</v>
      </c>
      <c r="D263">
        <v>104</v>
      </c>
      <c r="E263" s="1">
        <v>45828</v>
      </c>
      <c r="F263" s="1"/>
      <c r="G263" t="s">
        <v>560</v>
      </c>
      <c r="H263">
        <v>2025</v>
      </c>
      <c r="I263">
        <v>6</v>
      </c>
      <c r="J263">
        <v>2</v>
      </c>
      <c r="K263">
        <v>3</v>
      </c>
      <c r="L263" cm="1">
        <f t="array" ref="L26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4" spans="1:12" hidden="1" x14ac:dyDescent="0.3">
      <c r="A264" t="s">
        <v>824</v>
      </c>
      <c r="B264" t="s">
        <v>507</v>
      </c>
      <c r="C264" t="s">
        <v>19</v>
      </c>
      <c r="D264">
        <v>22</v>
      </c>
      <c r="E264" s="1">
        <v>45830</v>
      </c>
      <c r="F264" s="1"/>
      <c r="G264" t="s">
        <v>560</v>
      </c>
      <c r="H264">
        <v>2025</v>
      </c>
      <c r="I264">
        <v>6</v>
      </c>
      <c r="J264">
        <v>2</v>
      </c>
      <c r="K264">
        <v>4</v>
      </c>
      <c r="L264" cm="1">
        <f t="array" ref="L26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5" spans="1:12" hidden="1" x14ac:dyDescent="0.3">
      <c r="A265" t="s">
        <v>825</v>
      </c>
      <c r="B265" t="s">
        <v>214</v>
      </c>
      <c r="C265" t="s">
        <v>29</v>
      </c>
      <c r="D265">
        <v>18</v>
      </c>
      <c r="E265" s="1">
        <v>45830</v>
      </c>
      <c r="F265" s="1"/>
      <c r="G265" t="s">
        <v>560</v>
      </c>
      <c r="H265">
        <v>2025</v>
      </c>
      <c r="I265">
        <v>6</v>
      </c>
      <c r="J265">
        <v>2</v>
      </c>
      <c r="K265">
        <v>4</v>
      </c>
      <c r="L265" cm="1">
        <f t="array" ref="L26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6" spans="1:12" hidden="1" x14ac:dyDescent="0.3">
      <c r="A266" t="s">
        <v>826</v>
      </c>
      <c r="B266" t="s">
        <v>418</v>
      </c>
      <c r="C266" t="s">
        <v>16</v>
      </c>
      <c r="D266">
        <v>21</v>
      </c>
      <c r="E266" s="1">
        <v>45831</v>
      </c>
      <c r="F266" s="1"/>
      <c r="G266" t="s">
        <v>560</v>
      </c>
      <c r="H266">
        <v>2025</v>
      </c>
      <c r="I266">
        <v>6</v>
      </c>
      <c r="J266">
        <v>2</v>
      </c>
      <c r="K266">
        <v>4</v>
      </c>
      <c r="L266" cm="1">
        <f t="array" ref="L26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7" spans="1:12" x14ac:dyDescent="0.3">
      <c r="A267" t="s">
        <v>827</v>
      </c>
      <c r="B267" t="s">
        <v>225</v>
      </c>
      <c r="C267" t="s">
        <v>22</v>
      </c>
      <c r="D267">
        <v>12</v>
      </c>
      <c r="E267" s="1">
        <v>45832</v>
      </c>
      <c r="F267" s="1">
        <v>45835</v>
      </c>
      <c r="G267" t="s">
        <v>563</v>
      </c>
      <c r="H267">
        <v>2025</v>
      </c>
      <c r="I267">
        <v>6</v>
      </c>
      <c r="J267">
        <v>2</v>
      </c>
      <c r="K267">
        <v>4</v>
      </c>
      <c r="L267" cm="1">
        <f t="array" ref="L26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8" spans="1:12" x14ac:dyDescent="0.3">
      <c r="A268" t="s">
        <v>828</v>
      </c>
      <c r="B268" t="s">
        <v>404</v>
      </c>
      <c r="C268" t="s">
        <v>16</v>
      </c>
      <c r="D268">
        <v>46</v>
      </c>
      <c r="E268" s="1">
        <v>45832</v>
      </c>
      <c r="F268" s="1">
        <v>45838</v>
      </c>
      <c r="G268" t="s">
        <v>563</v>
      </c>
      <c r="H268">
        <v>2025</v>
      </c>
      <c r="I268">
        <v>6</v>
      </c>
      <c r="J268">
        <v>2</v>
      </c>
      <c r="K268">
        <v>4</v>
      </c>
      <c r="L268" cm="1">
        <f t="array" ref="L26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9" spans="1:12" hidden="1" x14ac:dyDescent="0.3">
      <c r="A269" t="s">
        <v>829</v>
      </c>
      <c r="B269" t="s">
        <v>411</v>
      </c>
      <c r="C269" t="s">
        <v>22</v>
      </c>
      <c r="D269">
        <v>74</v>
      </c>
      <c r="E269" s="1">
        <v>45833</v>
      </c>
      <c r="F269" s="1"/>
      <c r="G269" t="s">
        <v>574</v>
      </c>
      <c r="H269">
        <v>2025</v>
      </c>
      <c r="I269">
        <v>6</v>
      </c>
      <c r="J269">
        <v>2</v>
      </c>
      <c r="K269">
        <v>4</v>
      </c>
      <c r="L269" cm="1">
        <f t="array" ref="L26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0" spans="1:12" hidden="1" x14ac:dyDescent="0.3">
      <c r="A270" t="s">
        <v>830</v>
      </c>
      <c r="B270" t="s">
        <v>339</v>
      </c>
      <c r="C270" t="s">
        <v>22</v>
      </c>
      <c r="D270">
        <v>57</v>
      </c>
      <c r="E270" s="1">
        <v>45835</v>
      </c>
      <c r="F270" s="1"/>
      <c r="G270" t="s">
        <v>574</v>
      </c>
      <c r="H270">
        <v>2025</v>
      </c>
      <c r="I270">
        <v>6</v>
      </c>
      <c r="J270">
        <v>2</v>
      </c>
      <c r="K270">
        <v>4</v>
      </c>
      <c r="L270" cm="1">
        <f t="array" ref="L27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1" spans="1:12" x14ac:dyDescent="0.3">
      <c r="A271" t="s">
        <v>831</v>
      </c>
      <c r="B271" t="s">
        <v>124</v>
      </c>
      <c r="C271" t="s">
        <v>22</v>
      </c>
      <c r="D271">
        <v>37</v>
      </c>
      <c r="E271" s="1">
        <v>45835</v>
      </c>
      <c r="F271" s="1">
        <v>45846</v>
      </c>
      <c r="G271" t="s">
        <v>563</v>
      </c>
      <c r="H271">
        <v>2025</v>
      </c>
      <c r="I271">
        <v>6</v>
      </c>
      <c r="J271">
        <v>2</v>
      </c>
      <c r="K271">
        <v>4</v>
      </c>
      <c r="L271" cm="1">
        <f t="array" ref="L27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2" spans="1:12" x14ac:dyDescent="0.3">
      <c r="A272" t="s">
        <v>832</v>
      </c>
      <c r="B272" t="s">
        <v>168</v>
      </c>
      <c r="C272" t="s">
        <v>29</v>
      </c>
      <c r="D272">
        <v>36</v>
      </c>
      <c r="E272" s="1">
        <v>45836</v>
      </c>
      <c r="F272" s="1">
        <v>45850</v>
      </c>
      <c r="G272" t="s">
        <v>563</v>
      </c>
      <c r="H272">
        <v>2025</v>
      </c>
      <c r="I272">
        <v>6</v>
      </c>
      <c r="J272">
        <v>2</v>
      </c>
      <c r="K272">
        <v>5</v>
      </c>
      <c r="L272" cm="1">
        <f t="array" ref="L27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3" spans="1:12" hidden="1" x14ac:dyDescent="0.3">
      <c r="A273" t="s">
        <v>833</v>
      </c>
      <c r="B273" t="s">
        <v>488</v>
      </c>
      <c r="C273" t="s">
        <v>16</v>
      </c>
      <c r="D273">
        <v>33</v>
      </c>
      <c r="E273" s="1">
        <v>45836</v>
      </c>
      <c r="F273" s="1"/>
      <c r="G273" t="s">
        <v>560</v>
      </c>
      <c r="H273">
        <v>2025</v>
      </c>
      <c r="I273">
        <v>6</v>
      </c>
      <c r="J273">
        <v>2</v>
      </c>
      <c r="K273">
        <v>5</v>
      </c>
      <c r="L273" cm="1">
        <f t="array" ref="L27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4" spans="1:12" x14ac:dyDescent="0.3">
      <c r="A274" t="s">
        <v>834</v>
      </c>
      <c r="B274" t="s">
        <v>62</v>
      </c>
      <c r="C274" t="s">
        <v>22</v>
      </c>
      <c r="D274">
        <v>54</v>
      </c>
      <c r="E274" s="1">
        <v>45838</v>
      </c>
      <c r="F274" s="1">
        <v>45844</v>
      </c>
      <c r="G274" t="s">
        <v>563</v>
      </c>
      <c r="H274">
        <v>2025</v>
      </c>
      <c r="I274">
        <v>6</v>
      </c>
      <c r="J274">
        <v>2</v>
      </c>
      <c r="K274">
        <v>5</v>
      </c>
      <c r="L274" cm="1">
        <f t="array" ref="L27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5" spans="1:12" hidden="1" x14ac:dyDescent="0.3">
      <c r="A275" t="s">
        <v>835</v>
      </c>
      <c r="B275" t="s">
        <v>325</v>
      </c>
      <c r="C275" t="s">
        <v>10</v>
      </c>
      <c r="D275">
        <v>60</v>
      </c>
      <c r="E275" s="1">
        <v>45839</v>
      </c>
      <c r="F275" s="1"/>
      <c r="G275" t="s">
        <v>560</v>
      </c>
      <c r="H275">
        <v>2025</v>
      </c>
      <c r="I275">
        <v>7</v>
      </c>
      <c r="J275">
        <v>3</v>
      </c>
      <c r="K275">
        <v>1</v>
      </c>
      <c r="L275" cm="1">
        <f t="array" ref="L27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76" spans="1:12" hidden="1" x14ac:dyDescent="0.3">
      <c r="A276" t="s">
        <v>836</v>
      </c>
      <c r="B276" t="s">
        <v>442</v>
      </c>
      <c r="C276" t="s">
        <v>22</v>
      </c>
      <c r="D276">
        <v>35</v>
      </c>
      <c r="E276" s="1">
        <v>45840</v>
      </c>
      <c r="F276" s="1"/>
      <c r="G276" t="s">
        <v>574</v>
      </c>
      <c r="H276">
        <v>2025</v>
      </c>
      <c r="I276">
        <v>7</v>
      </c>
      <c r="J276">
        <v>3</v>
      </c>
      <c r="K276">
        <v>1</v>
      </c>
      <c r="L276" cm="1">
        <f t="array" ref="L27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77" spans="1:12" hidden="1" x14ac:dyDescent="0.3">
      <c r="A277" t="s">
        <v>837</v>
      </c>
      <c r="B277" t="s">
        <v>428</v>
      </c>
      <c r="C277" t="s">
        <v>10</v>
      </c>
      <c r="D277">
        <v>23</v>
      </c>
      <c r="E277" s="1">
        <v>45840</v>
      </c>
      <c r="F277" s="1"/>
      <c r="G277" t="s">
        <v>560</v>
      </c>
      <c r="H277">
        <v>2025</v>
      </c>
      <c r="I277">
        <v>7</v>
      </c>
      <c r="J277">
        <v>3</v>
      </c>
      <c r="K277">
        <v>1</v>
      </c>
      <c r="L277" cm="1">
        <f t="array" ref="L27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78" spans="1:12" x14ac:dyDescent="0.3">
      <c r="A278" t="s">
        <v>838</v>
      </c>
      <c r="B278" t="s">
        <v>269</v>
      </c>
      <c r="C278" t="s">
        <v>29</v>
      </c>
      <c r="D278">
        <v>11</v>
      </c>
      <c r="E278" s="1">
        <v>45840</v>
      </c>
      <c r="F278" s="1">
        <v>45851</v>
      </c>
      <c r="G278" t="s">
        <v>563</v>
      </c>
      <c r="H278">
        <v>2025</v>
      </c>
      <c r="I278">
        <v>7</v>
      </c>
      <c r="J278">
        <v>3</v>
      </c>
      <c r="K278">
        <v>1</v>
      </c>
      <c r="L278" cm="1">
        <f t="array" ref="L27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79" spans="1:12" hidden="1" x14ac:dyDescent="0.3">
      <c r="A279" t="s">
        <v>839</v>
      </c>
      <c r="B279" t="s">
        <v>531</v>
      </c>
      <c r="C279" t="s">
        <v>10</v>
      </c>
      <c r="D279">
        <v>63</v>
      </c>
      <c r="E279" s="1">
        <v>45841</v>
      </c>
      <c r="F279" s="1"/>
      <c r="G279" t="s">
        <v>574</v>
      </c>
      <c r="H279">
        <v>2025</v>
      </c>
      <c r="I279">
        <v>7</v>
      </c>
      <c r="J279">
        <v>3</v>
      </c>
      <c r="K279">
        <v>1</v>
      </c>
      <c r="L279" cm="1">
        <f t="array" ref="L27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0" spans="1:12" x14ac:dyDescent="0.3">
      <c r="A280" t="s">
        <v>840</v>
      </c>
      <c r="B280" t="s">
        <v>72</v>
      </c>
      <c r="C280" t="s">
        <v>19</v>
      </c>
      <c r="D280">
        <v>40</v>
      </c>
      <c r="E280" s="1">
        <v>45841</v>
      </c>
      <c r="F280" s="1">
        <v>45853</v>
      </c>
      <c r="G280" t="s">
        <v>563</v>
      </c>
      <c r="H280">
        <v>2025</v>
      </c>
      <c r="I280">
        <v>7</v>
      </c>
      <c r="J280">
        <v>3</v>
      </c>
      <c r="K280">
        <v>1</v>
      </c>
      <c r="L280" cm="1">
        <f t="array" ref="L28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1" spans="1:12" hidden="1" x14ac:dyDescent="0.3">
      <c r="A281" t="s">
        <v>841</v>
      </c>
      <c r="B281" t="s">
        <v>228</v>
      </c>
      <c r="C281" t="s">
        <v>22</v>
      </c>
      <c r="D281">
        <v>29</v>
      </c>
      <c r="E281" s="1">
        <v>45841</v>
      </c>
      <c r="F281" s="1"/>
      <c r="G281" t="s">
        <v>560</v>
      </c>
      <c r="H281">
        <v>2025</v>
      </c>
      <c r="I281">
        <v>7</v>
      </c>
      <c r="J281">
        <v>3</v>
      </c>
      <c r="K281">
        <v>1</v>
      </c>
      <c r="L281" cm="1">
        <f t="array" ref="L28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2" spans="1:12" x14ac:dyDescent="0.3">
      <c r="A282" t="s">
        <v>842</v>
      </c>
      <c r="B282" t="s">
        <v>269</v>
      </c>
      <c r="C282" t="s">
        <v>22</v>
      </c>
      <c r="D282">
        <v>45</v>
      </c>
      <c r="E282" s="1">
        <v>45842</v>
      </c>
      <c r="F282" s="1">
        <v>45850</v>
      </c>
      <c r="G282" t="s">
        <v>563</v>
      </c>
      <c r="H282">
        <v>2025</v>
      </c>
      <c r="I282">
        <v>7</v>
      </c>
      <c r="J282">
        <v>3</v>
      </c>
      <c r="K282">
        <v>1</v>
      </c>
      <c r="L282" cm="1">
        <f t="array" ref="L28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3" spans="1:12" x14ac:dyDescent="0.3">
      <c r="A283" t="s">
        <v>843</v>
      </c>
      <c r="B283" t="s">
        <v>419</v>
      </c>
      <c r="C283" t="s">
        <v>22</v>
      </c>
      <c r="D283">
        <v>48</v>
      </c>
      <c r="E283" s="1">
        <v>45842</v>
      </c>
      <c r="F283" s="1">
        <v>45849</v>
      </c>
      <c r="G283" t="s">
        <v>563</v>
      </c>
      <c r="H283">
        <v>2025</v>
      </c>
      <c r="I283">
        <v>7</v>
      </c>
      <c r="J283">
        <v>3</v>
      </c>
      <c r="K283">
        <v>1</v>
      </c>
      <c r="L283" cm="1">
        <f t="array" ref="L28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4" spans="1:12" hidden="1" x14ac:dyDescent="0.3">
      <c r="A284" t="s">
        <v>844</v>
      </c>
      <c r="B284" t="s">
        <v>408</v>
      </c>
      <c r="C284" t="s">
        <v>29</v>
      </c>
      <c r="D284">
        <v>63</v>
      </c>
      <c r="E284" s="1">
        <v>45842</v>
      </c>
      <c r="F284" s="1"/>
      <c r="G284" t="s">
        <v>574</v>
      </c>
      <c r="H284">
        <v>2025</v>
      </c>
      <c r="I284">
        <v>7</v>
      </c>
      <c r="J284">
        <v>3</v>
      </c>
      <c r="K284">
        <v>1</v>
      </c>
      <c r="L284" cm="1">
        <f t="array" ref="L28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5" spans="1:12" x14ac:dyDescent="0.3">
      <c r="A285" t="s">
        <v>845</v>
      </c>
      <c r="B285" t="s">
        <v>458</v>
      </c>
      <c r="C285" t="s">
        <v>22</v>
      </c>
      <c r="D285">
        <v>81</v>
      </c>
      <c r="E285" s="1">
        <v>45843</v>
      </c>
      <c r="F285" s="1">
        <v>45853</v>
      </c>
      <c r="G285" t="s">
        <v>563</v>
      </c>
      <c r="H285">
        <v>2025</v>
      </c>
      <c r="I285">
        <v>7</v>
      </c>
      <c r="J285">
        <v>3</v>
      </c>
      <c r="K285">
        <v>1</v>
      </c>
      <c r="L285" cm="1">
        <f t="array" ref="L28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6" spans="1:12" hidden="1" x14ac:dyDescent="0.3">
      <c r="A286" t="s">
        <v>846</v>
      </c>
      <c r="B286" t="s">
        <v>197</v>
      </c>
      <c r="C286" t="s">
        <v>29</v>
      </c>
      <c r="D286">
        <v>78</v>
      </c>
      <c r="E286" s="1">
        <v>45844</v>
      </c>
      <c r="F286" s="1"/>
      <c r="G286" t="s">
        <v>574</v>
      </c>
      <c r="H286">
        <v>2025</v>
      </c>
      <c r="I286">
        <v>7</v>
      </c>
      <c r="J286">
        <v>3</v>
      </c>
      <c r="K286">
        <v>1</v>
      </c>
      <c r="L286" cm="1">
        <f t="array" ref="L28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7" spans="1:12" x14ac:dyDescent="0.3">
      <c r="A287" t="s">
        <v>847</v>
      </c>
      <c r="B287" t="s">
        <v>78</v>
      </c>
      <c r="C287" t="s">
        <v>29</v>
      </c>
      <c r="D287">
        <v>17</v>
      </c>
      <c r="E287" s="1">
        <v>45844</v>
      </c>
      <c r="F287" s="1">
        <v>45857</v>
      </c>
      <c r="G287" t="s">
        <v>563</v>
      </c>
      <c r="H287">
        <v>2025</v>
      </c>
      <c r="I287">
        <v>7</v>
      </c>
      <c r="J287">
        <v>3</v>
      </c>
      <c r="K287">
        <v>1</v>
      </c>
      <c r="L287" cm="1">
        <f t="array" ref="L28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8" spans="1:12" x14ac:dyDescent="0.3">
      <c r="A288" t="s">
        <v>848</v>
      </c>
      <c r="B288" t="s">
        <v>62</v>
      </c>
      <c r="C288" t="s">
        <v>10</v>
      </c>
      <c r="D288">
        <v>25</v>
      </c>
      <c r="E288" s="1">
        <v>45845</v>
      </c>
      <c r="F288" s="1">
        <v>45856</v>
      </c>
      <c r="G288" t="s">
        <v>563</v>
      </c>
      <c r="H288">
        <v>2025</v>
      </c>
      <c r="I288">
        <v>7</v>
      </c>
      <c r="J288">
        <v>3</v>
      </c>
      <c r="K288">
        <v>2</v>
      </c>
      <c r="L288" cm="1">
        <f t="array" ref="L28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9" spans="1:12" x14ac:dyDescent="0.3">
      <c r="A289" t="s">
        <v>849</v>
      </c>
      <c r="B289" t="s">
        <v>344</v>
      </c>
      <c r="C289" t="s">
        <v>29</v>
      </c>
      <c r="D289">
        <v>55</v>
      </c>
      <c r="E289" s="1">
        <v>45845</v>
      </c>
      <c r="F289" s="1">
        <v>45851</v>
      </c>
      <c r="G289" t="s">
        <v>563</v>
      </c>
      <c r="H289">
        <v>2025</v>
      </c>
      <c r="I289">
        <v>7</v>
      </c>
      <c r="J289">
        <v>3</v>
      </c>
      <c r="K289">
        <v>1</v>
      </c>
      <c r="L289" cm="1">
        <f t="array" ref="L28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0" spans="1:12" x14ac:dyDescent="0.3">
      <c r="A290" t="s">
        <v>850</v>
      </c>
      <c r="B290" t="s">
        <v>54</v>
      </c>
      <c r="C290" t="s">
        <v>10</v>
      </c>
      <c r="D290">
        <v>92</v>
      </c>
      <c r="E290" s="1">
        <v>45845</v>
      </c>
      <c r="F290" s="1">
        <v>45857</v>
      </c>
      <c r="G290" t="s">
        <v>563</v>
      </c>
      <c r="H290">
        <v>2025</v>
      </c>
      <c r="I290">
        <v>7</v>
      </c>
      <c r="J290">
        <v>3</v>
      </c>
      <c r="K290">
        <v>2</v>
      </c>
      <c r="L290" cm="1">
        <f t="array" ref="L29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1" spans="1:12" hidden="1" x14ac:dyDescent="0.3">
      <c r="A291" t="s">
        <v>851</v>
      </c>
      <c r="B291" t="s">
        <v>280</v>
      </c>
      <c r="C291" t="s">
        <v>19</v>
      </c>
      <c r="D291">
        <v>94</v>
      </c>
      <c r="E291" s="1">
        <v>45845</v>
      </c>
      <c r="F291" s="1"/>
      <c r="G291" t="s">
        <v>574</v>
      </c>
      <c r="H291">
        <v>2025</v>
      </c>
      <c r="I291">
        <v>7</v>
      </c>
      <c r="J291">
        <v>3</v>
      </c>
      <c r="K291">
        <v>1</v>
      </c>
      <c r="L291" cm="1">
        <f t="array" ref="L29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2" spans="1:12" x14ac:dyDescent="0.3">
      <c r="A292" t="s">
        <v>852</v>
      </c>
      <c r="B292" t="s">
        <v>235</v>
      </c>
      <c r="C292" t="s">
        <v>10</v>
      </c>
      <c r="D292">
        <v>26</v>
      </c>
      <c r="E292" s="1">
        <v>45845</v>
      </c>
      <c r="F292" s="1">
        <v>45853</v>
      </c>
      <c r="G292" t="s">
        <v>563</v>
      </c>
      <c r="H292">
        <v>2025</v>
      </c>
      <c r="I292">
        <v>7</v>
      </c>
      <c r="J292">
        <v>3</v>
      </c>
      <c r="K292">
        <v>1</v>
      </c>
      <c r="L292" cm="1">
        <f t="array" ref="L29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3" spans="1:12" x14ac:dyDescent="0.3">
      <c r="A293" t="s">
        <v>853</v>
      </c>
      <c r="B293" t="s">
        <v>132</v>
      </c>
      <c r="C293" t="s">
        <v>22</v>
      </c>
      <c r="D293">
        <v>80</v>
      </c>
      <c r="E293" s="1">
        <v>45847</v>
      </c>
      <c r="F293" s="1">
        <v>45855</v>
      </c>
      <c r="G293" t="s">
        <v>563</v>
      </c>
      <c r="H293">
        <v>2025</v>
      </c>
      <c r="I293">
        <v>7</v>
      </c>
      <c r="J293">
        <v>3</v>
      </c>
      <c r="K293">
        <v>2</v>
      </c>
      <c r="L293" cm="1">
        <f t="array" ref="L29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4" spans="1:12" x14ac:dyDescent="0.3">
      <c r="A294" t="s">
        <v>854</v>
      </c>
      <c r="B294" t="s">
        <v>278</v>
      </c>
      <c r="C294" t="s">
        <v>29</v>
      </c>
      <c r="D294">
        <v>31</v>
      </c>
      <c r="E294" s="1">
        <v>45847</v>
      </c>
      <c r="F294" s="1">
        <v>45860</v>
      </c>
      <c r="G294" t="s">
        <v>563</v>
      </c>
      <c r="H294">
        <v>2025</v>
      </c>
      <c r="I294">
        <v>7</v>
      </c>
      <c r="J294">
        <v>3</v>
      </c>
      <c r="K294">
        <v>2</v>
      </c>
      <c r="L294" cm="1">
        <f t="array" ref="L29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5" spans="1:12" x14ac:dyDescent="0.3">
      <c r="A295" t="s">
        <v>855</v>
      </c>
      <c r="B295" t="s">
        <v>483</v>
      </c>
      <c r="C295" t="s">
        <v>10</v>
      </c>
      <c r="D295">
        <v>54</v>
      </c>
      <c r="E295" s="1">
        <v>45848</v>
      </c>
      <c r="F295" s="1">
        <v>45859</v>
      </c>
      <c r="G295" t="s">
        <v>563</v>
      </c>
      <c r="H295">
        <v>2025</v>
      </c>
      <c r="I295">
        <v>7</v>
      </c>
      <c r="J295">
        <v>3</v>
      </c>
      <c r="K295">
        <v>2</v>
      </c>
      <c r="L295" cm="1">
        <f t="array" ref="L29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6" spans="1:12" x14ac:dyDescent="0.3">
      <c r="A296" t="s">
        <v>856</v>
      </c>
      <c r="B296" t="s">
        <v>521</v>
      </c>
      <c r="C296" t="s">
        <v>10</v>
      </c>
      <c r="D296">
        <v>22</v>
      </c>
      <c r="E296" s="1">
        <v>45848</v>
      </c>
      <c r="F296" s="1">
        <v>45854</v>
      </c>
      <c r="G296" t="s">
        <v>563</v>
      </c>
      <c r="H296">
        <v>2025</v>
      </c>
      <c r="I296">
        <v>7</v>
      </c>
      <c r="J296">
        <v>3</v>
      </c>
      <c r="K296">
        <v>2</v>
      </c>
      <c r="L296" cm="1">
        <f t="array" ref="L29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7" spans="1:12" hidden="1" x14ac:dyDescent="0.3">
      <c r="A297" t="s">
        <v>857</v>
      </c>
      <c r="B297" t="s">
        <v>179</v>
      </c>
      <c r="C297" t="s">
        <v>29</v>
      </c>
      <c r="D297">
        <v>22</v>
      </c>
      <c r="E297" s="1">
        <v>45848</v>
      </c>
      <c r="F297" s="1"/>
      <c r="G297" t="s">
        <v>560</v>
      </c>
      <c r="H297">
        <v>2025</v>
      </c>
      <c r="I297">
        <v>7</v>
      </c>
      <c r="J297">
        <v>3</v>
      </c>
      <c r="K297">
        <v>2</v>
      </c>
      <c r="L297" cm="1">
        <f t="array" ref="L29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8" spans="1:12" hidden="1" x14ac:dyDescent="0.3">
      <c r="A298" t="s">
        <v>858</v>
      </c>
      <c r="B298" t="s">
        <v>210</v>
      </c>
      <c r="C298" t="s">
        <v>22</v>
      </c>
      <c r="D298">
        <v>33</v>
      </c>
      <c r="E298" s="1">
        <v>45849</v>
      </c>
      <c r="F298" s="1"/>
      <c r="G298" t="s">
        <v>574</v>
      </c>
      <c r="H298">
        <v>2025</v>
      </c>
      <c r="I298">
        <v>7</v>
      </c>
      <c r="J298">
        <v>3</v>
      </c>
      <c r="K298">
        <v>2</v>
      </c>
      <c r="L298" cm="1">
        <f t="array" ref="L29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9" spans="1:12" hidden="1" x14ac:dyDescent="0.3">
      <c r="A299" t="s">
        <v>859</v>
      </c>
      <c r="B299" t="s">
        <v>520</v>
      </c>
      <c r="C299" t="s">
        <v>22</v>
      </c>
      <c r="D299">
        <v>78</v>
      </c>
      <c r="E299" s="1">
        <v>45849</v>
      </c>
      <c r="F299" s="1"/>
      <c r="G299" t="s">
        <v>560</v>
      </c>
      <c r="H299">
        <v>2025</v>
      </c>
      <c r="I299">
        <v>7</v>
      </c>
      <c r="J299">
        <v>3</v>
      </c>
      <c r="K299">
        <v>2</v>
      </c>
      <c r="L299" cm="1">
        <f t="array" ref="L29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0" spans="1:12" hidden="1" x14ac:dyDescent="0.3">
      <c r="A300" t="s">
        <v>860</v>
      </c>
      <c r="B300" t="s">
        <v>139</v>
      </c>
      <c r="C300" t="s">
        <v>10</v>
      </c>
      <c r="D300">
        <v>76</v>
      </c>
      <c r="E300" s="1">
        <v>45850</v>
      </c>
      <c r="F300" s="1"/>
      <c r="G300" t="s">
        <v>574</v>
      </c>
      <c r="H300">
        <v>2025</v>
      </c>
      <c r="I300">
        <v>7</v>
      </c>
      <c r="J300">
        <v>3</v>
      </c>
      <c r="K300">
        <v>2</v>
      </c>
      <c r="L300" cm="1">
        <f t="array" ref="L30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1" spans="1:12" x14ac:dyDescent="0.3">
      <c r="A301" t="s">
        <v>861</v>
      </c>
      <c r="B301" t="s">
        <v>381</v>
      </c>
      <c r="C301" t="s">
        <v>22</v>
      </c>
      <c r="D301">
        <v>32</v>
      </c>
      <c r="E301" s="1">
        <v>45850</v>
      </c>
      <c r="F301" s="1">
        <v>45864</v>
      </c>
      <c r="G301" t="s">
        <v>563</v>
      </c>
      <c r="H301">
        <v>2025</v>
      </c>
      <c r="I301">
        <v>7</v>
      </c>
      <c r="J301">
        <v>3</v>
      </c>
      <c r="K301">
        <v>2</v>
      </c>
      <c r="L301" cm="1">
        <f t="array" ref="L30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2" spans="1:12" x14ac:dyDescent="0.3">
      <c r="A302" t="s">
        <v>862</v>
      </c>
      <c r="B302" t="s">
        <v>307</v>
      </c>
      <c r="C302" t="s">
        <v>10</v>
      </c>
      <c r="D302">
        <v>25</v>
      </c>
      <c r="E302" s="1">
        <v>45852</v>
      </c>
      <c r="F302" s="1">
        <v>45864</v>
      </c>
      <c r="G302" t="s">
        <v>563</v>
      </c>
      <c r="H302">
        <v>2025</v>
      </c>
      <c r="I302">
        <v>7</v>
      </c>
      <c r="J302">
        <v>3</v>
      </c>
      <c r="K302">
        <v>3</v>
      </c>
      <c r="L302" cm="1">
        <f t="array" ref="L30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3" spans="1:12" x14ac:dyDescent="0.3">
      <c r="A303" t="s">
        <v>863</v>
      </c>
      <c r="B303" t="s">
        <v>210</v>
      </c>
      <c r="C303" t="s">
        <v>10</v>
      </c>
      <c r="D303">
        <v>98</v>
      </c>
      <c r="E303" s="1">
        <v>45852</v>
      </c>
      <c r="F303" s="1">
        <v>45856</v>
      </c>
      <c r="G303" t="s">
        <v>563</v>
      </c>
      <c r="H303">
        <v>2025</v>
      </c>
      <c r="I303">
        <v>7</v>
      </c>
      <c r="J303">
        <v>3</v>
      </c>
      <c r="K303">
        <v>2</v>
      </c>
      <c r="L303" cm="1">
        <f t="array" ref="L30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4" spans="1:12" hidden="1" x14ac:dyDescent="0.3">
      <c r="A304" t="s">
        <v>864</v>
      </c>
      <c r="B304" t="s">
        <v>179</v>
      </c>
      <c r="C304" t="s">
        <v>16</v>
      </c>
      <c r="D304">
        <v>62</v>
      </c>
      <c r="E304" s="1">
        <v>45853</v>
      </c>
      <c r="F304" s="1"/>
      <c r="G304" t="s">
        <v>560</v>
      </c>
      <c r="H304">
        <v>2025</v>
      </c>
      <c r="I304">
        <v>7</v>
      </c>
      <c r="J304">
        <v>3</v>
      </c>
      <c r="K304">
        <v>3</v>
      </c>
      <c r="L304" cm="1">
        <f t="array" ref="L30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5" spans="1:12" hidden="1" x14ac:dyDescent="0.3">
      <c r="A305" t="s">
        <v>865</v>
      </c>
      <c r="B305" t="s">
        <v>80</v>
      </c>
      <c r="C305" t="s">
        <v>16</v>
      </c>
      <c r="D305">
        <v>85</v>
      </c>
      <c r="E305" s="1">
        <v>45853</v>
      </c>
      <c r="F305" s="1"/>
      <c r="G305" t="s">
        <v>560</v>
      </c>
      <c r="H305">
        <v>2025</v>
      </c>
      <c r="I305">
        <v>7</v>
      </c>
      <c r="J305">
        <v>3</v>
      </c>
      <c r="K305">
        <v>3</v>
      </c>
      <c r="L305" cm="1">
        <f t="array" ref="L30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6" spans="1:12" x14ac:dyDescent="0.3">
      <c r="A306" t="s">
        <v>866</v>
      </c>
      <c r="B306" t="s">
        <v>497</v>
      </c>
      <c r="C306" t="s">
        <v>16</v>
      </c>
      <c r="D306">
        <v>71</v>
      </c>
      <c r="E306" s="1">
        <v>45853</v>
      </c>
      <c r="F306" s="1">
        <v>45858</v>
      </c>
      <c r="G306" t="s">
        <v>563</v>
      </c>
      <c r="H306">
        <v>2025</v>
      </c>
      <c r="I306">
        <v>7</v>
      </c>
      <c r="J306">
        <v>3</v>
      </c>
      <c r="K306">
        <v>3</v>
      </c>
      <c r="L306" cm="1">
        <f t="array" ref="L30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7" spans="1:12" x14ac:dyDescent="0.3">
      <c r="A307" t="s">
        <v>867</v>
      </c>
      <c r="B307" t="s">
        <v>525</v>
      </c>
      <c r="C307" t="s">
        <v>10</v>
      </c>
      <c r="D307">
        <v>71</v>
      </c>
      <c r="E307" s="1">
        <v>45854</v>
      </c>
      <c r="F307" s="1">
        <v>45868</v>
      </c>
      <c r="G307" t="s">
        <v>563</v>
      </c>
      <c r="H307">
        <v>2025</v>
      </c>
      <c r="I307">
        <v>7</v>
      </c>
      <c r="J307">
        <v>3</v>
      </c>
      <c r="K307">
        <v>3</v>
      </c>
      <c r="L307" cm="1">
        <f t="array" ref="L30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8" spans="1:12" x14ac:dyDescent="0.3">
      <c r="A308" t="s">
        <v>868</v>
      </c>
      <c r="B308" t="s">
        <v>155</v>
      </c>
      <c r="C308" t="s">
        <v>29</v>
      </c>
      <c r="D308">
        <v>97</v>
      </c>
      <c r="E308" s="1">
        <v>45854</v>
      </c>
      <c r="F308" s="1">
        <v>45860</v>
      </c>
      <c r="G308" t="s">
        <v>563</v>
      </c>
      <c r="H308">
        <v>2025</v>
      </c>
      <c r="I308">
        <v>7</v>
      </c>
      <c r="J308">
        <v>3</v>
      </c>
      <c r="K308">
        <v>3</v>
      </c>
      <c r="L308" cm="1">
        <f t="array" ref="L30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9" spans="1:12" hidden="1" x14ac:dyDescent="0.3">
      <c r="A309" t="s">
        <v>869</v>
      </c>
      <c r="B309" t="s">
        <v>222</v>
      </c>
      <c r="C309" t="s">
        <v>29</v>
      </c>
      <c r="D309">
        <v>36</v>
      </c>
      <c r="E309" s="1">
        <v>45856</v>
      </c>
      <c r="F309" s="1"/>
      <c r="G309" t="s">
        <v>560</v>
      </c>
      <c r="H309">
        <v>2025</v>
      </c>
      <c r="I309">
        <v>7</v>
      </c>
      <c r="J309">
        <v>3</v>
      </c>
      <c r="K309">
        <v>3</v>
      </c>
      <c r="L309" cm="1">
        <f t="array" ref="L30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0" spans="1:12" x14ac:dyDescent="0.3">
      <c r="A310" t="s">
        <v>870</v>
      </c>
      <c r="B310" t="s">
        <v>37</v>
      </c>
      <c r="C310" t="s">
        <v>10</v>
      </c>
      <c r="D310">
        <v>49</v>
      </c>
      <c r="E310" s="1">
        <v>45856</v>
      </c>
      <c r="F310" s="1">
        <v>45860</v>
      </c>
      <c r="G310" t="s">
        <v>563</v>
      </c>
      <c r="H310">
        <v>2025</v>
      </c>
      <c r="I310">
        <v>7</v>
      </c>
      <c r="J310">
        <v>3</v>
      </c>
      <c r="K310">
        <v>3</v>
      </c>
      <c r="L310" cm="1">
        <f t="array" ref="L31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1" spans="1:12" hidden="1" x14ac:dyDescent="0.3">
      <c r="A311" t="s">
        <v>871</v>
      </c>
      <c r="B311" t="s">
        <v>379</v>
      </c>
      <c r="C311" t="s">
        <v>22</v>
      </c>
      <c r="D311">
        <v>75</v>
      </c>
      <c r="E311" s="1">
        <v>45858</v>
      </c>
      <c r="F311" s="1"/>
      <c r="G311" t="s">
        <v>560</v>
      </c>
      <c r="H311">
        <v>2025</v>
      </c>
      <c r="I311">
        <v>7</v>
      </c>
      <c r="J311">
        <v>3</v>
      </c>
      <c r="K311">
        <v>3</v>
      </c>
      <c r="L311" cm="1">
        <f t="array" ref="L31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2" spans="1:12" x14ac:dyDescent="0.3">
      <c r="A312" t="s">
        <v>872</v>
      </c>
      <c r="B312" t="s">
        <v>340</v>
      </c>
      <c r="C312" t="s">
        <v>22</v>
      </c>
      <c r="D312">
        <v>50</v>
      </c>
      <c r="E312" s="1">
        <v>45859</v>
      </c>
      <c r="F312" s="1">
        <v>45866</v>
      </c>
      <c r="G312" t="s">
        <v>563</v>
      </c>
      <c r="H312">
        <v>2025</v>
      </c>
      <c r="I312">
        <v>7</v>
      </c>
      <c r="J312">
        <v>3</v>
      </c>
      <c r="K312">
        <v>3</v>
      </c>
      <c r="L312" cm="1">
        <f t="array" ref="L31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3" spans="1:12" x14ac:dyDescent="0.3">
      <c r="A313" t="s">
        <v>873</v>
      </c>
      <c r="B313" t="s">
        <v>190</v>
      </c>
      <c r="C313" t="s">
        <v>19</v>
      </c>
      <c r="D313">
        <v>25</v>
      </c>
      <c r="E313" s="1">
        <v>45862</v>
      </c>
      <c r="F313" s="1">
        <v>45872</v>
      </c>
      <c r="G313" t="s">
        <v>563</v>
      </c>
      <c r="H313">
        <v>2025</v>
      </c>
      <c r="I313">
        <v>7</v>
      </c>
      <c r="J313">
        <v>3</v>
      </c>
      <c r="K313">
        <v>4</v>
      </c>
      <c r="L313" cm="1">
        <f t="array" ref="L31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4" spans="1:12" hidden="1" x14ac:dyDescent="0.3">
      <c r="A314" t="s">
        <v>874</v>
      </c>
      <c r="B314" t="s">
        <v>421</v>
      </c>
      <c r="C314" t="s">
        <v>29</v>
      </c>
      <c r="D314">
        <v>62</v>
      </c>
      <c r="E314" s="1">
        <v>45862</v>
      </c>
      <c r="F314" s="1"/>
      <c r="G314" t="s">
        <v>574</v>
      </c>
      <c r="H314">
        <v>2025</v>
      </c>
      <c r="I314">
        <v>7</v>
      </c>
      <c r="J314">
        <v>3</v>
      </c>
      <c r="K314">
        <v>4</v>
      </c>
      <c r="L314" cm="1">
        <f t="array" ref="L31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5" spans="1:12" x14ac:dyDescent="0.3">
      <c r="A315" t="s">
        <v>875</v>
      </c>
      <c r="B315" t="s">
        <v>201</v>
      </c>
      <c r="C315" t="s">
        <v>19</v>
      </c>
      <c r="D315">
        <v>99</v>
      </c>
      <c r="E315" s="1">
        <v>45865</v>
      </c>
      <c r="F315" s="1">
        <v>45871</v>
      </c>
      <c r="G315" t="s">
        <v>563</v>
      </c>
      <c r="H315">
        <v>2025</v>
      </c>
      <c r="I315">
        <v>7</v>
      </c>
      <c r="J315">
        <v>3</v>
      </c>
      <c r="K315">
        <v>4</v>
      </c>
      <c r="L315" cm="1">
        <f t="array" ref="L31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6" spans="1:12" x14ac:dyDescent="0.3">
      <c r="A316" t="s">
        <v>876</v>
      </c>
      <c r="B316" t="s">
        <v>260</v>
      </c>
      <c r="C316" t="s">
        <v>16</v>
      </c>
      <c r="D316">
        <v>24</v>
      </c>
      <c r="E316" s="1">
        <v>45865</v>
      </c>
      <c r="F316" s="1">
        <v>45872</v>
      </c>
      <c r="G316" t="s">
        <v>563</v>
      </c>
      <c r="H316">
        <v>2025</v>
      </c>
      <c r="I316">
        <v>7</v>
      </c>
      <c r="J316">
        <v>3</v>
      </c>
      <c r="K316">
        <v>4</v>
      </c>
      <c r="L316" cm="1">
        <f t="array" ref="L31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7" spans="1:12" x14ac:dyDescent="0.3">
      <c r="A317" t="s">
        <v>877</v>
      </c>
      <c r="B317" t="s">
        <v>220</v>
      </c>
      <c r="C317" t="s">
        <v>29</v>
      </c>
      <c r="D317">
        <v>15</v>
      </c>
      <c r="E317" s="1">
        <v>45865</v>
      </c>
      <c r="F317" s="1">
        <v>45876</v>
      </c>
      <c r="G317" t="s">
        <v>563</v>
      </c>
      <c r="H317">
        <v>2025</v>
      </c>
      <c r="I317">
        <v>7</v>
      </c>
      <c r="J317">
        <v>3</v>
      </c>
      <c r="K317">
        <v>4</v>
      </c>
      <c r="L317" cm="1">
        <f t="array" ref="L31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8" spans="1:12" x14ac:dyDescent="0.3">
      <c r="A318" t="s">
        <v>878</v>
      </c>
      <c r="B318" t="s">
        <v>483</v>
      </c>
      <c r="C318" t="s">
        <v>10</v>
      </c>
      <c r="D318">
        <v>46</v>
      </c>
      <c r="E318" s="1">
        <v>45867</v>
      </c>
      <c r="F318" s="1">
        <v>45881</v>
      </c>
      <c r="G318" t="s">
        <v>563</v>
      </c>
      <c r="H318">
        <v>2025</v>
      </c>
      <c r="I318">
        <v>7</v>
      </c>
      <c r="J318">
        <v>3</v>
      </c>
      <c r="K318">
        <v>5</v>
      </c>
      <c r="L318" cm="1">
        <f t="array" ref="L31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9" spans="1:12" hidden="1" x14ac:dyDescent="0.3">
      <c r="A319" t="s">
        <v>879</v>
      </c>
      <c r="B319" t="s">
        <v>370</v>
      </c>
      <c r="C319" t="s">
        <v>29</v>
      </c>
      <c r="D319">
        <v>93</v>
      </c>
      <c r="E319" s="1">
        <v>45867</v>
      </c>
      <c r="F319" s="1"/>
      <c r="G319" t="s">
        <v>574</v>
      </c>
      <c r="H319">
        <v>2025</v>
      </c>
      <c r="I319">
        <v>7</v>
      </c>
      <c r="J319">
        <v>3</v>
      </c>
      <c r="K319">
        <v>5</v>
      </c>
      <c r="L319" cm="1">
        <f t="array" ref="L31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20" spans="1:12" hidden="1" x14ac:dyDescent="0.3">
      <c r="A320" t="s">
        <v>880</v>
      </c>
      <c r="B320" t="s">
        <v>434</v>
      </c>
      <c r="C320" t="s">
        <v>22</v>
      </c>
      <c r="D320">
        <v>13</v>
      </c>
      <c r="E320" s="1">
        <v>45868</v>
      </c>
      <c r="F320" s="1"/>
      <c r="G320" t="s">
        <v>560</v>
      </c>
      <c r="H320">
        <v>2025</v>
      </c>
      <c r="I320">
        <v>7</v>
      </c>
      <c r="J320">
        <v>3</v>
      </c>
      <c r="K320">
        <v>5</v>
      </c>
      <c r="L320" cm="1">
        <f t="array" ref="L32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21" spans="1:12" hidden="1" x14ac:dyDescent="0.3">
      <c r="A321" t="s">
        <v>881</v>
      </c>
      <c r="B321" t="s">
        <v>489</v>
      </c>
      <c r="C321" t="s">
        <v>19</v>
      </c>
      <c r="D321">
        <v>78</v>
      </c>
      <c r="E321" s="1">
        <v>45868</v>
      </c>
      <c r="F321" s="1"/>
      <c r="G321" t="s">
        <v>574</v>
      </c>
      <c r="H321">
        <v>2025</v>
      </c>
      <c r="I321">
        <v>7</v>
      </c>
      <c r="J321">
        <v>3</v>
      </c>
      <c r="K321">
        <v>5</v>
      </c>
      <c r="L321" cm="1">
        <f t="array" ref="L32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22" spans="1:12" hidden="1" x14ac:dyDescent="0.3">
      <c r="A322" t="s">
        <v>882</v>
      </c>
      <c r="B322" t="s">
        <v>501</v>
      </c>
      <c r="C322" t="s">
        <v>29</v>
      </c>
      <c r="D322">
        <v>18</v>
      </c>
      <c r="E322" s="1">
        <v>45869</v>
      </c>
      <c r="F322" s="1"/>
      <c r="G322" t="s">
        <v>560</v>
      </c>
      <c r="H322">
        <v>2025</v>
      </c>
      <c r="I322">
        <v>8</v>
      </c>
      <c r="J322">
        <v>3</v>
      </c>
      <c r="K322">
        <v>1</v>
      </c>
      <c r="L322" cm="1">
        <f t="array" ref="L32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3" spans="1:12" hidden="1" x14ac:dyDescent="0.3">
      <c r="A323" t="s">
        <v>883</v>
      </c>
      <c r="B323" t="s">
        <v>175</v>
      </c>
      <c r="C323" t="s">
        <v>22</v>
      </c>
      <c r="D323">
        <v>26</v>
      </c>
      <c r="E323" s="1">
        <v>45871</v>
      </c>
      <c r="F323" s="1"/>
      <c r="G323" t="s">
        <v>560</v>
      </c>
      <c r="H323">
        <v>2025</v>
      </c>
      <c r="I323">
        <v>8</v>
      </c>
      <c r="J323">
        <v>3</v>
      </c>
      <c r="K323">
        <v>1</v>
      </c>
      <c r="L323" cm="1">
        <f t="array" ref="L32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4" spans="1:12" hidden="1" x14ac:dyDescent="0.3">
      <c r="A324" t="s">
        <v>884</v>
      </c>
      <c r="B324" t="s">
        <v>482</v>
      </c>
      <c r="C324" t="s">
        <v>10</v>
      </c>
      <c r="D324">
        <v>14</v>
      </c>
      <c r="E324" s="1">
        <v>45872</v>
      </c>
      <c r="F324" s="1"/>
      <c r="G324" t="s">
        <v>574</v>
      </c>
      <c r="H324">
        <v>2025</v>
      </c>
      <c r="I324">
        <v>8</v>
      </c>
      <c r="J324">
        <v>3</v>
      </c>
      <c r="K324">
        <v>1</v>
      </c>
      <c r="L324" cm="1">
        <f t="array" ref="L32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5" spans="1:12" hidden="1" x14ac:dyDescent="0.3">
      <c r="A325" t="s">
        <v>885</v>
      </c>
      <c r="B325" t="s">
        <v>410</v>
      </c>
      <c r="C325" t="s">
        <v>19</v>
      </c>
      <c r="D325">
        <v>95</v>
      </c>
      <c r="E325" s="1">
        <v>45873</v>
      </c>
      <c r="F325" s="1"/>
      <c r="G325" t="s">
        <v>574</v>
      </c>
      <c r="H325">
        <v>2025</v>
      </c>
      <c r="I325">
        <v>8</v>
      </c>
      <c r="J325">
        <v>3</v>
      </c>
      <c r="K325">
        <v>1</v>
      </c>
      <c r="L325" cm="1">
        <f t="array" ref="L32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6" spans="1:12" x14ac:dyDescent="0.3">
      <c r="A326" t="s">
        <v>886</v>
      </c>
      <c r="B326" t="s">
        <v>439</v>
      </c>
      <c r="C326" t="s">
        <v>22</v>
      </c>
      <c r="D326">
        <v>87</v>
      </c>
      <c r="E326" s="1">
        <v>45873</v>
      </c>
      <c r="F326" s="1">
        <v>45883</v>
      </c>
      <c r="G326" t="s">
        <v>563</v>
      </c>
      <c r="H326">
        <v>2025</v>
      </c>
      <c r="I326">
        <v>8</v>
      </c>
      <c r="J326">
        <v>3</v>
      </c>
      <c r="K326">
        <v>1</v>
      </c>
      <c r="L326" cm="1">
        <f t="array" ref="L32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7" spans="1:12" x14ac:dyDescent="0.3">
      <c r="A327" t="s">
        <v>887</v>
      </c>
      <c r="B327" t="s">
        <v>389</v>
      </c>
      <c r="C327" t="s">
        <v>16</v>
      </c>
      <c r="D327">
        <v>90</v>
      </c>
      <c r="E327" s="1">
        <v>45873</v>
      </c>
      <c r="F327" s="1">
        <v>45877</v>
      </c>
      <c r="G327" t="s">
        <v>563</v>
      </c>
      <c r="H327">
        <v>2025</v>
      </c>
      <c r="I327">
        <v>8</v>
      </c>
      <c r="J327">
        <v>3</v>
      </c>
      <c r="K327">
        <v>1</v>
      </c>
      <c r="L327" cm="1">
        <f t="array" ref="L32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8" spans="1:12" hidden="1" x14ac:dyDescent="0.3">
      <c r="A328" t="s">
        <v>888</v>
      </c>
      <c r="B328" t="s">
        <v>251</v>
      </c>
      <c r="C328" t="s">
        <v>22</v>
      </c>
      <c r="D328">
        <v>30</v>
      </c>
      <c r="E328" s="1">
        <v>45874</v>
      </c>
      <c r="F328" s="1"/>
      <c r="G328" t="s">
        <v>560</v>
      </c>
      <c r="H328">
        <v>2025</v>
      </c>
      <c r="I328">
        <v>8</v>
      </c>
      <c r="J328">
        <v>3</v>
      </c>
      <c r="K328">
        <v>1</v>
      </c>
      <c r="L328" cm="1">
        <f t="array" ref="L32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9" spans="1:12" x14ac:dyDescent="0.3">
      <c r="A329" t="s">
        <v>889</v>
      </c>
      <c r="B329" t="s">
        <v>52</v>
      </c>
      <c r="C329" t="s">
        <v>29</v>
      </c>
      <c r="D329">
        <v>68</v>
      </c>
      <c r="E329" s="1">
        <v>45874</v>
      </c>
      <c r="F329" s="1">
        <v>45878</v>
      </c>
      <c r="G329" t="s">
        <v>563</v>
      </c>
      <c r="H329">
        <v>2025</v>
      </c>
      <c r="I329">
        <v>8</v>
      </c>
      <c r="J329">
        <v>3</v>
      </c>
      <c r="K329">
        <v>1</v>
      </c>
      <c r="L329" cm="1">
        <f t="array" ref="L32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0" spans="1:12" x14ac:dyDescent="0.3">
      <c r="A330" t="s">
        <v>890</v>
      </c>
      <c r="B330" t="s">
        <v>511</v>
      </c>
      <c r="C330" t="s">
        <v>16</v>
      </c>
      <c r="D330">
        <v>27</v>
      </c>
      <c r="E330" s="1">
        <v>45875</v>
      </c>
      <c r="F330" s="1">
        <v>45880</v>
      </c>
      <c r="G330" t="s">
        <v>563</v>
      </c>
      <c r="H330">
        <v>2025</v>
      </c>
      <c r="I330">
        <v>8</v>
      </c>
      <c r="J330">
        <v>3</v>
      </c>
      <c r="K330">
        <v>1</v>
      </c>
      <c r="L330" cm="1">
        <f t="array" ref="L33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1" spans="1:12" hidden="1" x14ac:dyDescent="0.3">
      <c r="A331" t="s">
        <v>891</v>
      </c>
      <c r="B331" t="s">
        <v>205</v>
      </c>
      <c r="C331" t="s">
        <v>16</v>
      </c>
      <c r="D331">
        <v>53</v>
      </c>
      <c r="E331" s="1">
        <v>45877</v>
      </c>
      <c r="F331" s="1"/>
      <c r="G331" t="s">
        <v>574</v>
      </c>
      <c r="H331">
        <v>2025</v>
      </c>
      <c r="I331">
        <v>8</v>
      </c>
      <c r="J331">
        <v>3</v>
      </c>
      <c r="K331">
        <v>2</v>
      </c>
      <c r="L331" cm="1">
        <f t="array" ref="L33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2" spans="1:12" x14ac:dyDescent="0.3">
      <c r="A332" t="s">
        <v>892</v>
      </c>
      <c r="B332" t="s">
        <v>524</v>
      </c>
      <c r="C332" t="s">
        <v>10</v>
      </c>
      <c r="D332">
        <v>86</v>
      </c>
      <c r="E332" s="1">
        <v>45878</v>
      </c>
      <c r="F332" s="1">
        <v>45883</v>
      </c>
      <c r="G332" t="s">
        <v>563</v>
      </c>
      <c r="H332">
        <v>2025</v>
      </c>
      <c r="I332">
        <v>8</v>
      </c>
      <c r="J332">
        <v>3</v>
      </c>
      <c r="K332">
        <v>2</v>
      </c>
      <c r="L332" cm="1">
        <f t="array" ref="L33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3" spans="1:12" x14ac:dyDescent="0.3">
      <c r="A333" t="s">
        <v>893</v>
      </c>
      <c r="B333" t="s">
        <v>253</v>
      </c>
      <c r="C333" t="s">
        <v>29</v>
      </c>
      <c r="D333">
        <v>88</v>
      </c>
      <c r="E333" s="1">
        <v>45878</v>
      </c>
      <c r="F333" s="1">
        <v>45889</v>
      </c>
      <c r="G333" t="s">
        <v>563</v>
      </c>
      <c r="H333">
        <v>2025</v>
      </c>
      <c r="I333">
        <v>8</v>
      </c>
      <c r="J333">
        <v>3</v>
      </c>
      <c r="K333">
        <v>2</v>
      </c>
      <c r="L333" cm="1">
        <f t="array" ref="L33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4" spans="1:12" hidden="1" x14ac:dyDescent="0.3">
      <c r="A334" t="s">
        <v>894</v>
      </c>
      <c r="B334" t="s">
        <v>235</v>
      </c>
      <c r="C334" t="s">
        <v>29</v>
      </c>
      <c r="D334">
        <v>76</v>
      </c>
      <c r="E334" s="1">
        <v>45878</v>
      </c>
      <c r="F334" s="1"/>
      <c r="G334" t="s">
        <v>560</v>
      </c>
      <c r="H334">
        <v>2025</v>
      </c>
      <c r="I334">
        <v>8</v>
      </c>
      <c r="J334">
        <v>3</v>
      </c>
      <c r="K334">
        <v>2</v>
      </c>
      <c r="L334" cm="1">
        <f t="array" ref="L33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5" spans="1:12" x14ac:dyDescent="0.3">
      <c r="A335" t="s">
        <v>895</v>
      </c>
      <c r="B335" t="s">
        <v>253</v>
      </c>
      <c r="C335" t="s">
        <v>22</v>
      </c>
      <c r="D335">
        <v>101</v>
      </c>
      <c r="E335" s="1">
        <v>45878</v>
      </c>
      <c r="F335" s="1">
        <v>45884</v>
      </c>
      <c r="G335" t="s">
        <v>563</v>
      </c>
      <c r="H335">
        <v>2025</v>
      </c>
      <c r="I335">
        <v>8</v>
      </c>
      <c r="J335">
        <v>3</v>
      </c>
      <c r="K335">
        <v>2</v>
      </c>
      <c r="L335" cm="1">
        <f t="array" ref="L33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6" spans="1:12" x14ac:dyDescent="0.3">
      <c r="A336" t="s">
        <v>896</v>
      </c>
      <c r="B336" t="s">
        <v>328</v>
      </c>
      <c r="C336" t="s">
        <v>29</v>
      </c>
      <c r="D336">
        <v>14</v>
      </c>
      <c r="E336" s="1">
        <v>45879</v>
      </c>
      <c r="F336" s="1">
        <v>45891</v>
      </c>
      <c r="G336" t="s">
        <v>563</v>
      </c>
      <c r="H336">
        <v>2025</v>
      </c>
      <c r="I336">
        <v>8</v>
      </c>
      <c r="J336">
        <v>3</v>
      </c>
      <c r="K336">
        <v>2</v>
      </c>
      <c r="L336" cm="1">
        <f t="array" ref="L33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7" spans="1:12" x14ac:dyDescent="0.3">
      <c r="A337" t="s">
        <v>897</v>
      </c>
      <c r="B337" t="s">
        <v>167</v>
      </c>
      <c r="C337" t="s">
        <v>16</v>
      </c>
      <c r="D337">
        <v>95</v>
      </c>
      <c r="E337" s="1">
        <v>45879</v>
      </c>
      <c r="F337" s="1">
        <v>45885</v>
      </c>
      <c r="G337" t="s">
        <v>563</v>
      </c>
      <c r="H337">
        <v>2025</v>
      </c>
      <c r="I337">
        <v>8</v>
      </c>
      <c r="J337">
        <v>3</v>
      </c>
      <c r="K337">
        <v>2</v>
      </c>
      <c r="L337" cm="1">
        <f t="array" ref="L33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8" spans="1:12" x14ac:dyDescent="0.3">
      <c r="A338" t="s">
        <v>898</v>
      </c>
      <c r="B338" t="s">
        <v>463</v>
      </c>
      <c r="C338" t="s">
        <v>16</v>
      </c>
      <c r="D338">
        <v>27</v>
      </c>
      <c r="E338" s="1">
        <v>45880</v>
      </c>
      <c r="F338" s="1">
        <v>45888</v>
      </c>
      <c r="G338" t="s">
        <v>563</v>
      </c>
      <c r="H338">
        <v>2025</v>
      </c>
      <c r="I338">
        <v>8</v>
      </c>
      <c r="J338">
        <v>3</v>
      </c>
      <c r="K338">
        <v>2</v>
      </c>
      <c r="L338" cm="1">
        <f t="array" ref="L33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9" spans="1:12" x14ac:dyDescent="0.3">
      <c r="A339" t="s">
        <v>899</v>
      </c>
      <c r="B339" t="s">
        <v>97</v>
      </c>
      <c r="C339" t="s">
        <v>19</v>
      </c>
      <c r="D339">
        <v>13</v>
      </c>
      <c r="E339" s="1">
        <v>45880</v>
      </c>
      <c r="F339" s="1">
        <v>45893</v>
      </c>
      <c r="G339" t="s">
        <v>563</v>
      </c>
      <c r="H339">
        <v>2025</v>
      </c>
      <c r="I339">
        <v>8</v>
      </c>
      <c r="J339">
        <v>3</v>
      </c>
      <c r="K339">
        <v>2</v>
      </c>
      <c r="L339" cm="1">
        <f t="array" ref="L33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0" spans="1:12" hidden="1" x14ac:dyDescent="0.3">
      <c r="A340" t="s">
        <v>900</v>
      </c>
      <c r="B340" t="s">
        <v>210</v>
      </c>
      <c r="C340" t="s">
        <v>22</v>
      </c>
      <c r="D340">
        <v>47</v>
      </c>
      <c r="E340" s="1">
        <v>45881</v>
      </c>
      <c r="F340" s="1"/>
      <c r="G340" t="s">
        <v>560</v>
      </c>
      <c r="H340">
        <v>2025</v>
      </c>
      <c r="I340">
        <v>8</v>
      </c>
      <c r="J340">
        <v>3</v>
      </c>
      <c r="K340">
        <v>2</v>
      </c>
      <c r="L340" cm="1">
        <f t="array" ref="L34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1" spans="1:12" hidden="1" x14ac:dyDescent="0.3">
      <c r="A341" t="s">
        <v>901</v>
      </c>
      <c r="B341" t="s">
        <v>311</v>
      </c>
      <c r="C341" t="s">
        <v>19</v>
      </c>
      <c r="D341">
        <v>14</v>
      </c>
      <c r="E341" s="1">
        <v>45881</v>
      </c>
      <c r="F341" s="1"/>
      <c r="G341" t="s">
        <v>560</v>
      </c>
      <c r="H341">
        <v>2025</v>
      </c>
      <c r="I341">
        <v>8</v>
      </c>
      <c r="J341">
        <v>3</v>
      </c>
      <c r="K341">
        <v>2</v>
      </c>
      <c r="L341" cm="1">
        <f t="array" ref="L34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2" spans="1:12" hidden="1" x14ac:dyDescent="0.3">
      <c r="A342" t="s">
        <v>902</v>
      </c>
      <c r="B342" t="s">
        <v>387</v>
      </c>
      <c r="C342" t="s">
        <v>16</v>
      </c>
      <c r="D342">
        <v>82</v>
      </c>
      <c r="E342" s="1">
        <v>45882</v>
      </c>
      <c r="F342" s="1"/>
      <c r="G342" t="s">
        <v>574</v>
      </c>
      <c r="H342">
        <v>2025</v>
      </c>
      <c r="I342">
        <v>8</v>
      </c>
      <c r="J342">
        <v>3</v>
      </c>
      <c r="K342">
        <v>2</v>
      </c>
      <c r="L342" cm="1">
        <f t="array" ref="L34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3" spans="1:12" x14ac:dyDescent="0.3">
      <c r="A343" t="s">
        <v>903</v>
      </c>
      <c r="B343" t="s">
        <v>452</v>
      </c>
      <c r="C343" t="s">
        <v>10</v>
      </c>
      <c r="D343">
        <v>83</v>
      </c>
      <c r="E343" s="1">
        <v>45883</v>
      </c>
      <c r="F343" s="1">
        <v>45886</v>
      </c>
      <c r="G343" t="s">
        <v>563</v>
      </c>
      <c r="H343">
        <v>2025</v>
      </c>
      <c r="I343">
        <v>8</v>
      </c>
      <c r="J343">
        <v>3</v>
      </c>
      <c r="K343">
        <v>2</v>
      </c>
      <c r="L343" cm="1">
        <f t="array" ref="L34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4" spans="1:12" hidden="1" x14ac:dyDescent="0.3">
      <c r="A344" t="s">
        <v>904</v>
      </c>
      <c r="B344" t="s">
        <v>506</v>
      </c>
      <c r="C344" t="s">
        <v>29</v>
      </c>
      <c r="D344">
        <v>84</v>
      </c>
      <c r="E344" s="1">
        <v>45883</v>
      </c>
      <c r="F344" s="1"/>
      <c r="G344" t="s">
        <v>574</v>
      </c>
      <c r="H344">
        <v>2025</v>
      </c>
      <c r="I344">
        <v>8</v>
      </c>
      <c r="J344">
        <v>3</v>
      </c>
      <c r="K344">
        <v>2</v>
      </c>
      <c r="L344" cm="1">
        <f t="array" ref="L34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5" spans="1:12" x14ac:dyDescent="0.3">
      <c r="A345" t="s">
        <v>905</v>
      </c>
      <c r="B345" t="s">
        <v>95</v>
      </c>
      <c r="C345" t="s">
        <v>29</v>
      </c>
      <c r="D345">
        <v>51</v>
      </c>
      <c r="E345" s="1">
        <v>45883</v>
      </c>
      <c r="F345" s="1">
        <v>45890</v>
      </c>
      <c r="G345" t="s">
        <v>563</v>
      </c>
      <c r="H345">
        <v>2025</v>
      </c>
      <c r="I345">
        <v>8</v>
      </c>
      <c r="J345">
        <v>3</v>
      </c>
      <c r="K345">
        <v>2</v>
      </c>
      <c r="L345" cm="1">
        <f t="array" ref="L34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6" spans="1:12" x14ac:dyDescent="0.3">
      <c r="A346" t="s">
        <v>906</v>
      </c>
      <c r="B346" t="s">
        <v>385</v>
      </c>
      <c r="C346" t="s">
        <v>29</v>
      </c>
      <c r="D346">
        <v>59</v>
      </c>
      <c r="E346" s="1">
        <v>45883</v>
      </c>
      <c r="F346" s="1">
        <v>45889</v>
      </c>
      <c r="G346" t="s">
        <v>563</v>
      </c>
      <c r="H346">
        <v>2025</v>
      </c>
      <c r="I346">
        <v>8</v>
      </c>
      <c r="J346">
        <v>3</v>
      </c>
      <c r="K346">
        <v>2</v>
      </c>
      <c r="L346" cm="1">
        <f t="array" ref="L34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7" spans="1:12" hidden="1" x14ac:dyDescent="0.3">
      <c r="A347" t="s">
        <v>907</v>
      </c>
      <c r="B347" t="s">
        <v>436</v>
      </c>
      <c r="C347" t="s">
        <v>29</v>
      </c>
      <c r="D347">
        <v>93</v>
      </c>
      <c r="E347" s="1">
        <v>45884</v>
      </c>
      <c r="F347" s="1"/>
      <c r="G347" t="s">
        <v>560</v>
      </c>
      <c r="H347">
        <v>2025</v>
      </c>
      <c r="I347">
        <v>8</v>
      </c>
      <c r="J347">
        <v>3</v>
      </c>
      <c r="K347">
        <v>3</v>
      </c>
      <c r="L347" cm="1">
        <f t="array" ref="L34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8" spans="1:12" x14ac:dyDescent="0.3">
      <c r="A348" t="s">
        <v>908</v>
      </c>
      <c r="B348" t="s">
        <v>456</v>
      </c>
      <c r="C348" t="s">
        <v>29</v>
      </c>
      <c r="D348">
        <v>62</v>
      </c>
      <c r="E348" s="1">
        <v>45884</v>
      </c>
      <c r="F348" s="1">
        <v>45892</v>
      </c>
      <c r="G348" t="s">
        <v>563</v>
      </c>
      <c r="H348">
        <v>2025</v>
      </c>
      <c r="I348">
        <v>8</v>
      </c>
      <c r="J348">
        <v>3</v>
      </c>
      <c r="K348">
        <v>3</v>
      </c>
      <c r="L348" cm="1">
        <f t="array" ref="L34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9" spans="1:12" x14ac:dyDescent="0.3">
      <c r="A349" t="s">
        <v>909</v>
      </c>
      <c r="B349" t="s">
        <v>217</v>
      </c>
      <c r="C349" t="s">
        <v>29</v>
      </c>
      <c r="D349">
        <v>23</v>
      </c>
      <c r="E349" s="1">
        <v>45886</v>
      </c>
      <c r="F349" s="1">
        <v>45898</v>
      </c>
      <c r="G349" t="s">
        <v>563</v>
      </c>
      <c r="H349">
        <v>2025</v>
      </c>
      <c r="I349">
        <v>8</v>
      </c>
      <c r="J349">
        <v>3</v>
      </c>
      <c r="K349">
        <v>3</v>
      </c>
      <c r="L349" cm="1">
        <f t="array" ref="L34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0" spans="1:12" x14ac:dyDescent="0.3">
      <c r="A350" t="s">
        <v>910</v>
      </c>
      <c r="B350" t="s">
        <v>91</v>
      </c>
      <c r="C350" t="s">
        <v>10</v>
      </c>
      <c r="D350">
        <v>44</v>
      </c>
      <c r="E350" s="1">
        <v>45888</v>
      </c>
      <c r="F350" s="1">
        <v>45900</v>
      </c>
      <c r="G350" t="s">
        <v>563</v>
      </c>
      <c r="H350">
        <v>2025</v>
      </c>
      <c r="I350">
        <v>8</v>
      </c>
      <c r="J350">
        <v>3</v>
      </c>
      <c r="K350">
        <v>3</v>
      </c>
      <c r="L350" cm="1">
        <f t="array" ref="L35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1" spans="1:12" hidden="1" x14ac:dyDescent="0.3">
      <c r="A351" t="s">
        <v>911</v>
      </c>
      <c r="B351" t="s">
        <v>403</v>
      </c>
      <c r="C351" t="s">
        <v>10</v>
      </c>
      <c r="D351">
        <v>59</v>
      </c>
      <c r="E351" s="1">
        <v>45888</v>
      </c>
      <c r="F351" s="1"/>
      <c r="G351" t="s">
        <v>574</v>
      </c>
      <c r="H351">
        <v>2025</v>
      </c>
      <c r="I351">
        <v>8</v>
      </c>
      <c r="J351">
        <v>3</v>
      </c>
      <c r="K351">
        <v>3</v>
      </c>
      <c r="L351" cm="1">
        <f t="array" ref="L35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2" spans="1:12" hidden="1" x14ac:dyDescent="0.3">
      <c r="A352" t="s">
        <v>912</v>
      </c>
      <c r="B352" t="s">
        <v>120</v>
      </c>
      <c r="C352" t="s">
        <v>16</v>
      </c>
      <c r="D352">
        <v>22</v>
      </c>
      <c r="E352" s="1">
        <v>45888</v>
      </c>
      <c r="F352" s="1"/>
      <c r="G352" t="s">
        <v>560</v>
      </c>
      <c r="H352">
        <v>2025</v>
      </c>
      <c r="I352">
        <v>8</v>
      </c>
      <c r="J352">
        <v>3</v>
      </c>
      <c r="K352">
        <v>3</v>
      </c>
      <c r="L352" cm="1">
        <f t="array" ref="L35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3" spans="1:12" x14ac:dyDescent="0.3">
      <c r="A353" t="s">
        <v>913</v>
      </c>
      <c r="B353" t="s">
        <v>342</v>
      </c>
      <c r="C353" t="s">
        <v>29</v>
      </c>
      <c r="D353">
        <v>15</v>
      </c>
      <c r="E353" s="1">
        <v>45888</v>
      </c>
      <c r="F353" s="1">
        <v>45900</v>
      </c>
      <c r="G353" t="s">
        <v>563</v>
      </c>
      <c r="H353">
        <v>2025</v>
      </c>
      <c r="I353">
        <v>8</v>
      </c>
      <c r="J353">
        <v>3</v>
      </c>
      <c r="K353">
        <v>3</v>
      </c>
      <c r="L353" cm="1">
        <f t="array" ref="L35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4" spans="1:12" hidden="1" x14ac:dyDescent="0.3">
      <c r="A354" t="s">
        <v>914</v>
      </c>
      <c r="B354" t="s">
        <v>480</v>
      </c>
      <c r="C354" t="s">
        <v>19</v>
      </c>
      <c r="D354">
        <v>37</v>
      </c>
      <c r="E354" s="1">
        <v>45890</v>
      </c>
      <c r="F354" s="1"/>
      <c r="G354" t="s">
        <v>560</v>
      </c>
      <c r="H354">
        <v>2025</v>
      </c>
      <c r="I354">
        <v>8</v>
      </c>
      <c r="J354">
        <v>3</v>
      </c>
      <c r="K354">
        <v>3</v>
      </c>
      <c r="L354" cm="1">
        <f t="array" ref="L35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5" spans="1:12" hidden="1" x14ac:dyDescent="0.3">
      <c r="A355" t="s">
        <v>915</v>
      </c>
      <c r="B355" t="s">
        <v>499</v>
      </c>
      <c r="C355" t="s">
        <v>29</v>
      </c>
      <c r="D355">
        <v>26</v>
      </c>
      <c r="E355" s="1">
        <v>45890</v>
      </c>
      <c r="F355" s="1"/>
      <c r="G355" t="s">
        <v>560</v>
      </c>
      <c r="H355">
        <v>2025</v>
      </c>
      <c r="I355">
        <v>8</v>
      </c>
      <c r="J355">
        <v>3</v>
      </c>
      <c r="K355">
        <v>3</v>
      </c>
      <c r="L355" cm="1">
        <f t="array" ref="L35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6" spans="1:12" hidden="1" x14ac:dyDescent="0.3">
      <c r="A356" t="s">
        <v>916</v>
      </c>
      <c r="B356" t="s">
        <v>411</v>
      </c>
      <c r="C356" t="s">
        <v>19</v>
      </c>
      <c r="D356">
        <v>24</v>
      </c>
      <c r="E356" s="1">
        <v>45890</v>
      </c>
      <c r="F356" s="1"/>
      <c r="G356" t="s">
        <v>574</v>
      </c>
      <c r="H356">
        <v>2025</v>
      </c>
      <c r="I356">
        <v>8</v>
      </c>
      <c r="J356">
        <v>3</v>
      </c>
      <c r="K356">
        <v>3</v>
      </c>
      <c r="L356" cm="1">
        <f t="array" ref="L35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7" spans="1:12" hidden="1" x14ac:dyDescent="0.3">
      <c r="A357" t="s">
        <v>917</v>
      </c>
      <c r="B357" t="s">
        <v>113</v>
      </c>
      <c r="C357" t="s">
        <v>16</v>
      </c>
      <c r="D357">
        <v>64</v>
      </c>
      <c r="E357" s="1">
        <v>45890</v>
      </c>
      <c r="F357" s="1"/>
      <c r="G357" t="s">
        <v>560</v>
      </c>
      <c r="H357">
        <v>2025</v>
      </c>
      <c r="I357">
        <v>8</v>
      </c>
      <c r="J357">
        <v>3</v>
      </c>
      <c r="K357">
        <v>3</v>
      </c>
      <c r="L357" cm="1">
        <f t="array" ref="L35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8" spans="1:12" hidden="1" x14ac:dyDescent="0.3">
      <c r="A358" t="s">
        <v>918</v>
      </c>
      <c r="B358" t="s">
        <v>342</v>
      </c>
      <c r="C358" t="s">
        <v>22</v>
      </c>
      <c r="D358">
        <v>79</v>
      </c>
      <c r="E358" s="1">
        <v>45891</v>
      </c>
      <c r="F358" s="1"/>
      <c r="G358" t="s">
        <v>574</v>
      </c>
      <c r="H358">
        <v>2025</v>
      </c>
      <c r="I358">
        <v>8</v>
      </c>
      <c r="J358">
        <v>3</v>
      </c>
      <c r="K358">
        <v>4</v>
      </c>
      <c r="L358" cm="1">
        <f t="array" ref="L35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9" spans="1:12" hidden="1" x14ac:dyDescent="0.3">
      <c r="A359" t="s">
        <v>919</v>
      </c>
      <c r="B359" t="s">
        <v>238</v>
      </c>
      <c r="C359" t="s">
        <v>10</v>
      </c>
      <c r="D359">
        <v>59</v>
      </c>
      <c r="E359" s="1">
        <v>45892</v>
      </c>
      <c r="F359" s="1"/>
      <c r="G359" t="s">
        <v>560</v>
      </c>
      <c r="H359">
        <v>2025</v>
      </c>
      <c r="I359">
        <v>8</v>
      </c>
      <c r="J359">
        <v>3</v>
      </c>
      <c r="K359">
        <v>4</v>
      </c>
      <c r="L359" cm="1">
        <f t="array" ref="L35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0" spans="1:12" hidden="1" x14ac:dyDescent="0.3">
      <c r="A360" t="s">
        <v>920</v>
      </c>
      <c r="B360" t="s">
        <v>218</v>
      </c>
      <c r="C360" t="s">
        <v>29</v>
      </c>
      <c r="D360">
        <v>72</v>
      </c>
      <c r="E360" s="1">
        <v>45892</v>
      </c>
      <c r="F360" s="1"/>
      <c r="G360" t="s">
        <v>574</v>
      </c>
      <c r="H360">
        <v>2025</v>
      </c>
      <c r="I360">
        <v>8</v>
      </c>
      <c r="J360">
        <v>3</v>
      </c>
      <c r="K360">
        <v>4</v>
      </c>
      <c r="L360" cm="1">
        <f t="array" ref="L36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1" spans="1:12" x14ac:dyDescent="0.3">
      <c r="A361" t="s">
        <v>921</v>
      </c>
      <c r="B361" t="s">
        <v>57</v>
      </c>
      <c r="C361" t="s">
        <v>10</v>
      </c>
      <c r="D361">
        <v>57</v>
      </c>
      <c r="E361" s="1">
        <v>45893</v>
      </c>
      <c r="F361" s="1">
        <v>45900</v>
      </c>
      <c r="G361" t="s">
        <v>563</v>
      </c>
      <c r="H361">
        <v>2025</v>
      </c>
      <c r="I361">
        <v>8</v>
      </c>
      <c r="J361">
        <v>3</v>
      </c>
      <c r="K361">
        <v>4</v>
      </c>
      <c r="L361" cm="1">
        <f t="array" ref="L36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2" spans="1:12" hidden="1" x14ac:dyDescent="0.3">
      <c r="A362" t="s">
        <v>922</v>
      </c>
      <c r="B362" t="s">
        <v>369</v>
      </c>
      <c r="C362" t="s">
        <v>29</v>
      </c>
      <c r="D362">
        <v>42</v>
      </c>
      <c r="E362" s="1">
        <v>45894</v>
      </c>
      <c r="F362" s="1"/>
      <c r="G362" t="s">
        <v>560</v>
      </c>
      <c r="H362">
        <v>2025</v>
      </c>
      <c r="I362">
        <v>8</v>
      </c>
      <c r="J362">
        <v>3</v>
      </c>
      <c r="K362">
        <v>4</v>
      </c>
      <c r="L362" cm="1">
        <f t="array" ref="L36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3" spans="1:12" x14ac:dyDescent="0.3">
      <c r="A363" t="s">
        <v>923</v>
      </c>
      <c r="B363" t="s">
        <v>370</v>
      </c>
      <c r="C363" t="s">
        <v>10</v>
      </c>
      <c r="D363">
        <v>78</v>
      </c>
      <c r="E363" s="1">
        <v>45894</v>
      </c>
      <c r="F363" s="1">
        <v>45905</v>
      </c>
      <c r="G363" t="s">
        <v>563</v>
      </c>
      <c r="H363">
        <v>2025</v>
      </c>
      <c r="I363">
        <v>8</v>
      </c>
      <c r="J363">
        <v>3</v>
      </c>
      <c r="K363">
        <v>4</v>
      </c>
      <c r="L363" cm="1">
        <f t="array" ref="L36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4" spans="1:12" x14ac:dyDescent="0.3">
      <c r="A364" t="s">
        <v>924</v>
      </c>
      <c r="B364" t="s">
        <v>232</v>
      </c>
      <c r="C364" t="s">
        <v>29</v>
      </c>
      <c r="D364">
        <v>100</v>
      </c>
      <c r="E364" s="1">
        <v>45894</v>
      </c>
      <c r="F364" s="1">
        <v>45898</v>
      </c>
      <c r="G364" t="s">
        <v>563</v>
      </c>
      <c r="H364">
        <v>2025</v>
      </c>
      <c r="I364">
        <v>8</v>
      </c>
      <c r="J364">
        <v>3</v>
      </c>
      <c r="K364">
        <v>4</v>
      </c>
      <c r="L364" cm="1">
        <f t="array" ref="L36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5" spans="1:12" x14ac:dyDescent="0.3">
      <c r="A365" t="s">
        <v>925</v>
      </c>
      <c r="B365" t="s">
        <v>367</v>
      </c>
      <c r="C365" t="s">
        <v>22</v>
      </c>
      <c r="D365">
        <v>23</v>
      </c>
      <c r="E365" s="1">
        <v>45896</v>
      </c>
      <c r="F365" s="1">
        <v>45907</v>
      </c>
      <c r="G365" t="s">
        <v>563</v>
      </c>
      <c r="H365">
        <v>2025</v>
      </c>
      <c r="I365">
        <v>8</v>
      </c>
      <c r="J365">
        <v>3</v>
      </c>
      <c r="K365">
        <v>4</v>
      </c>
      <c r="L365" cm="1">
        <f t="array" ref="L36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6" spans="1:12" x14ac:dyDescent="0.3">
      <c r="A366" t="s">
        <v>926</v>
      </c>
      <c r="B366" t="s">
        <v>456</v>
      </c>
      <c r="C366" t="s">
        <v>19</v>
      </c>
      <c r="D366">
        <v>97</v>
      </c>
      <c r="E366" s="1">
        <v>45896</v>
      </c>
      <c r="F366" s="1">
        <v>45900</v>
      </c>
      <c r="G366" t="s">
        <v>563</v>
      </c>
      <c r="H366">
        <v>2025</v>
      </c>
      <c r="I366">
        <v>8</v>
      </c>
      <c r="J366">
        <v>3</v>
      </c>
      <c r="K366">
        <v>4</v>
      </c>
      <c r="L366" cm="1">
        <f t="array" ref="L36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7" spans="1:12" x14ac:dyDescent="0.3">
      <c r="A367" t="s">
        <v>927</v>
      </c>
      <c r="B367" t="s">
        <v>486</v>
      </c>
      <c r="C367" t="s">
        <v>22</v>
      </c>
      <c r="D367">
        <v>36</v>
      </c>
      <c r="E367" s="1">
        <v>45896</v>
      </c>
      <c r="F367" s="1">
        <v>45910</v>
      </c>
      <c r="G367" t="s">
        <v>563</v>
      </c>
      <c r="H367">
        <v>2025</v>
      </c>
      <c r="I367">
        <v>8</v>
      </c>
      <c r="J367">
        <v>3</v>
      </c>
      <c r="K367">
        <v>4</v>
      </c>
      <c r="L367" cm="1">
        <f t="array" ref="L36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8" spans="1:12" hidden="1" x14ac:dyDescent="0.3">
      <c r="A368" t="s">
        <v>928</v>
      </c>
      <c r="B368" t="s">
        <v>167</v>
      </c>
      <c r="C368" t="s">
        <v>10</v>
      </c>
      <c r="D368">
        <v>65</v>
      </c>
      <c r="E368" s="1">
        <v>45896</v>
      </c>
      <c r="F368" s="1"/>
      <c r="G368" t="s">
        <v>560</v>
      </c>
      <c r="H368">
        <v>2025</v>
      </c>
      <c r="I368">
        <v>8</v>
      </c>
      <c r="J368">
        <v>3</v>
      </c>
      <c r="K368">
        <v>4</v>
      </c>
      <c r="L368" cm="1">
        <f t="array" ref="L36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9" spans="1:12" hidden="1" x14ac:dyDescent="0.3">
      <c r="A369" t="s">
        <v>929</v>
      </c>
      <c r="B369" t="s">
        <v>54</v>
      </c>
      <c r="C369" t="s">
        <v>22</v>
      </c>
      <c r="D369">
        <v>27</v>
      </c>
      <c r="E369" s="1">
        <v>45898</v>
      </c>
      <c r="F369" s="1"/>
      <c r="G369" t="s">
        <v>574</v>
      </c>
      <c r="H369">
        <v>2025</v>
      </c>
      <c r="I369">
        <v>8</v>
      </c>
      <c r="J369">
        <v>3</v>
      </c>
      <c r="K369">
        <v>5</v>
      </c>
      <c r="L369" cm="1">
        <f t="array" ref="L36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70" spans="1:12" hidden="1" x14ac:dyDescent="0.3">
      <c r="A370" t="s">
        <v>930</v>
      </c>
      <c r="B370" t="s">
        <v>285</v>
      </c>
      <c r="C370" t="s">
        <v>29</v>
      </c>
      <c r="D370">
        <v>83</v>
      </c>
      <c r="E370" s="1">
        <v>45898</v>
      </c>
      <c r="F370" s="1"/>
      <c r="G370" t="s">
        <v>574</v>
      </c>
      <c r="H370">
        <v>2025</v>
      </c>
      <c r="I370">
        <v>8</v>
      </c>
      <c r="J370">
        <v>3</v>
      </c>
      <c r="K370">
        <v>5</v>
      </c>
      <c r="L370" cm="1">
        <f t="array" ref="L37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71" spans="1:12" x14ac:dyDescent="0.3">
      <c r="A371" t="s">
        <v>931</v>
      </c>
      <c r="B371" t="s">
        <v>147</v>
      </c>
      <c r="C371" t="s">
        <v>16</v>
      </c>
      <c r="D371">
        <v>21</v>
      </c>
      <c r="E371" s="1">
        <v>45899</v>
      </c>
      <c r="F371" s="1">
        <v>45904</v>
      </c>
      <c r="G371" t="s">
        <v>563</v>
      </c>
      <c r="H371">
        <v>2025</v>
      </c>
      <c r="I371">
        <v>8</v>
      </c>
      <c r="J371">
        <v>3</v>
      </c>
      <c r="K371">
        <v>5</v>
      </c>
      <c r="L371" cm="1">
        <f t="array" ref="L37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72" spans="1:12" x14ac:dyDescent="0.3">
      <c r="A372" t="s">
        <v>932</v>
      </c>
      <c r="B372" t="s">
        <v>125</v>
      </c>
      <c r="C372" t="s">
        <v>16</v>
      </c>
      <c r="D372">
        <v>90</v>
      </c>
      <c r="E372" s="1">
        <v>45900</v>
      </c>
      <c r="F372" s="1">
        <v>45911</v>
      </c>
      <c r="G372" t="s">
        <v>563</v>
      </c>
      <c r="H372">
        <v>2025</v>
      </c>
      <c r="I372">
        <v>8</v>
      </c>
      <c r="J372">
        <v>3</v>
      </c>
      <c r="K372">
        <v>5</v>
      </c>
      <c r="L372" cm="1">
        <f t="array" ref="L37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73" spans="1:12" x14ac:dyDescent="0.3">
      <c r="A373" t="s">
        <v>933</v>
      </c>
      <c r="B373" t="s">
        <v>481</v>
      </c>
      <c r="C373" t="s">
        <v>19</v>
      </c>
      <c r="D373">
        <v>51</v>
      </c>
      <c r="E373" s="1">
        <v>45900</v>
      </c>
      <c r="F373" s="1">
        <v>45908</v>
      </c>
      <c r="G373" t="s">
        <v>563</v>
      </c>
      <c r="H373">
        <v>2025</v>
      </c>
      <c r="I373">
        <v>8</v>
      </c>
      <c r="J373">
        <v>3</v>
      </c>
      <c r="K373">
        <v>5</v>
      </c>
      <c r="L373" cm="1">
        <f t="array" ref="L37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74" spans="1:12" hidden="1" x14ac:dyDescent="0.3">
      <c r="A374" t="s">
        <v>934</v>
      </c>
      <c r="B374" t="s">
        <v>427</v>
      </c>
      <c r="C374" t="s">
        <v>22</v>
      </c>
      <c r="D374">
        <v>79</v>
      </c>
      <c r="E374" s="1">
        <v>45900</v>
      </c>
      <c r="F374" s="1"/>
      <c r="G374" t="s">
        <v>574</v>
      </c>
      <c r="H374">
        <v>2025</v>
      </c>
      <c r="I374">
        <v>8</v>
      </c>
      <c r="J374">
        <v>3</v>
      </c>
      <c r="K374">
        <v>5</v>
      </c>
      <c r="L374" cm="1">
        <f t="array" ref="L37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75" spans="1:12" x14ac:dyDescent="0.3">
      <c r="A375" t="s">
        <v>935</v>
      </c>
      <c r="B375" t="s">
        <v>130</v>
      </c>
      <c r="C375" t="s">
        <v>19</v>
      </c>
      <c r="D375">
        <v>95</v>
      </c>
      <c r="E375" s="1">
        <v>45901</v>
      </c>
      <c r="F375" s="1">
        <v>45909</v>
      </c>
      <c r="G375" t="s">
        <v>563</v>
      </c>
      <c r="H375">
        <v>2025</v>
      </c>
      <c r="I375">
        <v>9</v>
      </c>
      <c r="J375">
        <v>3</v>
      </c>
      <c r="K375">
        <v>1</v>
      </c>
      <c r="L375" cm="1">
        <f t="array" ref="L37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76" spans="1:12" hidden="1" x14ac:dyDescent="0.3">
      <c r="A376" t="s">
        <v>936</v>
      </c>
      <c r="B376" t="s">
        <v>477</v>
      </c>
      <c r="C376" t="s">
        <v>19</v>
      </c>
      <c r="D376">
        <v>21</v>
      </c>
      <c r="E376" s="1">
        <v>45901</v>
      </c>
      <c r="F376" s="1"/>
      <c r="G376" t="s">
        <v>574</v>
      </c>
      <c r="H376">
        <v>2025</v>
      </c>
      <c r="I376">
        <v>9</v>
      </c>
      <c r="J376">
        <v>3</v>
      </c>
      <c r="K376">
        <v>1</v>
      </c>
      <c r="L376" cm="1">
        <f t="array" ref="L37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77" spans="1:12" x14ac:dyDescent="0.3">
      <c r="A377" t="s">
        <v>937</v>
      </c>
      <c r="B377" t="s">
        <v>194</v>
      </c>
      <c r="C377" t="s">
        <v>22</v>
      </c>
      <c r="D377">
        <v>107</v>
      </c>
      <c r="E377" s="1">
        <v>45901</v>
      </c>
      <c r="F377" s="1">
        <v>45909</v>
      </c>
      <c r="G377" t="s">
        <v>563</v>
      </c>
      <c r="H377">
        <v>2025</v>
      </c>
      <c r="I377">
        <v>9</v>
      </c>
      <c r="J377">
        <v>3</v>
      </c>
      <c r="K377">
        <v>1</v>
      </c>
      <c r="L377" cm="1">
        <f t="array" ref="L37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78" spans="1:12" x14ac:dyDescent="0.3">
      <c r="A378" t="s">
        <v>938</v>
      </c>
      <c r="B378" t="s">
        <v>349</v>
      </c>
      <c r="C378" t="s">
        <v>19</v>
      </c>
      <c r="D378">
        <v>52</v>
      </c>
      <c r="E378" s="1">
        <v>45901</v>
      </c>
      <c r="F378" s="1">
        <v>45914</v>
      </c>
      <c r="G378" t="s">
        <v>563</v>
      </c>
      <c r="H378">
        <v>2025</v>
      </c>
      <c r="I378">
        <v>9</v>
      </c>
      <c r="J378">
        <v>3</v>
      </c>
      <c r="K378">
        <v>1</v>
      </c>
      <c r="L378" cm="1">
        <f t="array" ref="L37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79" spans="1:12" x14ac:dyDescent="0.3">
      <c r="A379" t="s">
        <v>939</v>
      </c>
      <c r="B379" t="s">
        <v>126</v>
      </c>
      <c r="C379" t="s">
        <v>22</v>
      </c>
      <c r="D379">
        <v>64</v>
      </c>
      <c r="E379" s="1">
        <v>45902</v>
      </c>
      <c r="F379" s="1">
        <v>45906</v>
      </c>
      <c r="G379" t="s">
        <v>563</v>
      </c>
      <c r="H379">
        <v>2025</v>
      </c>
      <c r="I379">
        <v>9</v>
      </c>
      <c r="J379">
        <v>3</v>
      </c>
      <c r="K379">
        <v>1</v>
      </c>
      <c r="L379" cm="1">
        <f t="array" ref="L37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0" spans="1:12" x14ac:dyDescent="0.3">
      <c r="A380" t="s">
        <v>940</v>
      </c>
      <c r="B380" t="s">
        <v>214</v>
      </c>
      <c r="C380" t="s">
        <v>22</v>
      </c>
      <c r="D380">
        <v>36</v>
      </c>
      <c r="E380" s="1">
        <v>45902</v>
      </c>
      <c r="F380" s="1">
        <v>45905</v>
      </c>
      <c r="G380" t="s">
        <v>563</v>
      </c>
      <c r="H380">
        <v>2025</v>
      </c>
      <c r="I380">
        <v>9</v>
      </c>
      <c r="J380">
        <v>3</v>
      </c>
      <c r="K380">
        <v>1</v>
      </c>
      <c r="L380" cm="1">
        <f t="array" ref="L38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1" spans="1:12" x14ac:dyDescent="0.3">
      <c r="A381" t="s">
        <v>941</v>
      </c>
      <c r="B381" t="s">
        <v>191</v>
      </c>
      <c r="C381" t="s">
        <v>22</v>
      </c>
      <c r="D381">
        <v>63</v>
      </c>
      <c r="E381" s="1">
        <v>45904</v>
      </c>
      <c r="F381" s="1">
        <v>45917</v>
      </c>
      <c r="G381" t="s">
        <v>563</v>
      </c>
      <c r="H381">
        <v>2025</v>
      </c>
      <c r="I381">
        <v>9</v>
      </c>
      <c r="J381">
        <v>3</v>
      </c>
      <c r="K381">
        <v>1</v>
      </c>
      <c r="L381" cm="1">
        <f t="array" ref="L38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2" spans="1:12" hidden="1" x14ac:dyDescent="0.3">
      <c r="A382" t="s">
        <v>942</v>
      </c>
      <c r="B382" t="s">
        <v>375</v>
      </c>
      <c r="C382" t="s">
        <v>29</v>
      </c>
      <c r="D382">
        <v>39</v>
      </c>
      <c r="E382" s="1">
        <v>45904</v>
      </c>
      <c r="F382" s="1"/>
      <c r="G382" t="s">
        <v>560</v>
      </c>
      <c r="H382">
        <v>2025</v>
      </c>
      <c r="I382">
        <v>9</v>
      </c>
      <c r="J382">
        <v>3</v>
      </c>
      <c r="K382">
        <v>1</v>
      </c>
      <c r="L382" cm="1">
        <f t="array" ref="L38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3" spans="1:12" x14ac:dyDescent="0.3">
      <c r="A383" t="s">
        <v>943</v>
      </c>
      <c r="B383" t="s">
        <v>439</v>
      </c>
      <c r="C383" t="s">
        <v>16</v>
      </c>
      <c r="D383">
        <v>54</v>
      </c>
      <c r="E383" s="1">
        <v>45905</v>
      </c>
      <c r="F383" s="1">
        <v>45910</v>
      </c>
      <c r="G383" t="s">
        <v>563</v>
      </c>
      <c r="H383">
        <v>2025</v>
      </c>
      <c r="I383">
        <v>9</v>
      </c>
      <c r="J383">
        <v>3</v>
      </c>
      <c r="K383">
        <v>1</v>
      </c>
      <c r="L383" cm="1">
        <f t="array" ref="L38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4" spans="1:12" x14ac:dyDescent="0.3">
      <c r="A384" t="s">
        <v>944</v>
      </c>
      <c r="B384" t="s">
        <v>222</v>
      </c>
      <c r="C384" t="s">
        <v>19</v>
      </c>
      <c r="D384">
        <v>10</v>
      </c>
      <c r="E384" s="1">
        <v>45905</v>
      </c>
      <c r="F384" s="1">
        <v>45908</v>
      </c>
      <c r="G384" t="s">
        <v>563</v>
      </c>
      <c r="H384">
        <v>2025</v>
      </c>
      <c r="I384">
        <v>9</v>
      </c>
      <c r="J384">
        <v>3</v>
      </c>
      <c r="K384">
        <v>1</v>
      </c>
      <c r="L384" cm="1">
        <f t="array" ref="L38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5" spans="1:12" x14ac:dyDescent="0.3">
      <c r="A385" t="s">
        <v>945</v>
      </c>
      <c r="B385" t="s">
        <v>393</v>
      </c>
      <c r="C385" t="s">
        <v>10</v>
      </c>
      <c r="D385">
        <v>67</v>
      </c>
      <c r="E385" s="1">
        <v>45906</v>
      </c>
      <c r="F385" s="1">
        <v>45919</v>
      </c>
      <c r="G385" t="s">
        <v>563</v>
      </c>
      <c r="H385">
        <v>2025</v>
      </c>
      <c r="I385">
        <v>9</v>
      </c>
      <c r="J385">
        <v>3</v>
      </c>
      <c r="K385">
        <v>1</v>
      </c>
      <c r="L385" cm="1">
        <f t="array" ref="L38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6" spans="1:12" hidden="1" x14ac:dyDescent="0.3">
      <c r="A386" t="s">
        <v>946</v>
      </c>
      <c r="B386" t="s">
        <v>388</v>
      </c>
      <c r="C386" t="s">
        <v>10</v>
      </c>
      <c r="D386">
        <v>61</v>
      </c>
      <c r="E386" s="1">
        <v>45906</v>
      </c>
      <c r="F386" s="1"/>
      <c r="G386" t="s">
        <v>574</v>
      </c>
      <c r="H386">
        <v>2025</v>
      </c>
      <c r="I386">
        <v>9</v>
      </c>
      <c r="J386">
        <v>3</v>
      </c>
      <c r="K386">
        <v>1</v>
      </c>
      <c r="L386" cm="1">
        <f t="array" ref="L38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7" spans="1:12" hidden="1" x14ac:dyDescent="0.3">
      <c r="A387" t="s">
        <v>947</v>
      </c>
      <c r="B387" t="s">
        <v>395</v>
      </c>
      <c r="C387" t="s">
        <v>29</v>
      </c>
      <c r="D387">
        <v>27</v>
      </c>
      <c r="E387" s="1">
        <v>45906</v>
      </c>
      <c r="F387" s="1"/>
      <c r="G387" t="s">
        <v>574</v>
      </c>
      <c r="H387">
        <v>2025</v>
      </c>
      <c r="I387">
        <v>9</v>
      </c>
      <c r="J387">
        <v>3</v>
      </c>
      <c r="K387">
        <v>1</v>
      </c>
      <c r="L387" cm="1">
        <f t="array" ref="L38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8" spans="1:12" x14ac:dyDescent="0.3">
      <c r="A388" t="s">
        <v>948</v>
      </c>
      <c r="B388" t="s">
        <v>479</v>
      </c>
      <c r="C388" t="s">
        <v>29</v>
      </c>
      <c r="D388">
        <v>93</v>
      </c>
      <c r="E388" s="1">
        <v>45906</v>
      </c>
      <c r="F388" s="1">
        <v>45910</v>
      </c>
      <c r="G388" t="s">
        <v>563</v>
      </c>
      <c r="H388">
        <v>2025</v>
      </c>
      <c r="I388">
        <v>9</v>
      </c>
      <c r="J388">
        <v>3</v>
      </c>
      <c r="K388">
        <v>1</v>
      </c>
      <c r="L388" cm="1">
        <f t="array" ref="L38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9" spans="1:12" hidden="1" x14ac:dyDescent="0.3">
      <c r="A389" t="s">
        <v>949</v>
      </c>
      <c r="B389" t="s">
        <v>274</v>
      </c>
      <c r="C389" t="s">
        <v>22</v>
      </c>
      <c r="D389">
        <v>77</v>
      </c>
      <c r="E389" s="1">
        <v>45907</v>
      </c>
      <c r="F389" s="1"/>
      <c r="G389" t="s">
        <v>574</v>
      </c>
      <c r="H389">
        <v>2025</v>
      </c>
      <c r="I389">
        <v>9</v>
      </c>
      <c r="J389">
        <v>3</v>
      </c>
      <c r="K389">
        <v>1</v>
      </c>
      <c r="L389" cm="1">
        <f t="array" ref="L38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0" spans="1:12" hidden="1" x14ac:dyDescent="0.3">
      <c r="A390" t="s">
        <v>950</v>
      </c>
      <c r="B390" t="s">
        <v>76</v>
      </c>
      <c r="C390" t="s">
        <v>19</v>
      </c>
      <c r="D390">
        <v>92</v>
      </c>
      <c r="E390" s="1">
        <v>45909</v>
      </c>
      <c r="F390" s="1"/>
      <c r="G390" t="s">
        <v>574</v>
      </c>
      <c r="H390">
        <v>2025</v>
      </c>
      <c r="I390">
        <v>9</v>
      </c>
      <c r="J390">
        <v>3</v>
      </c>
      <c r="K390">
        <v>2</v>
      </c>
      <c r="L390" cm="1">
        <f t="array" ref="L39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1" spans="1:12" x14ac:dyDescent="0.3">
      <c r="A391" t="s">
        <v>951</v>
      </c>
      <c r="B391" t="s">
        <v>412</v>
      </c>
      <c r="C391" t="s">
        <v>16</v>
      </c>
      <c r="D391">
        <v>108</v>
      </c>
      <c r="E391" s="1">
        <v>45909</v>
      </c>
      <c r="F391" s="1">
        <v>45912</v>
      </c>
      <c r="G391" t="s">
        <v>563</v>
      </c>
      <c r="H391">
        <v>2025</v>
      </c>
      <c r="I391">
        <v>9</v>
      </c>
      <c r="J391">
        <v>3</v>
      </c>
      <c r="K391">
        <v>2</v>
      </c>
      <c r="L391" cm="1">
        <f t="array" ref="L39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2" spans="1:12" hidden="1" x14ac:dyDescent="0.3">
      <c r="A392" t="s">
        <v>952</v>
      </c>
      <c r="B392" t="s">
        <v>388</v>
      </c>
      <c r="C392" t="s">
        <v>19</v>
      </c>
      <c r="D392">
        <v>96</v>
      </c>
      <c r="E392" s="1">
        <v>45910</v>
      </c>
      <c r="F392" s="1"/>
      <c r="G392" t="s">
        <v>560</v>
      </c>
      <c r="H392">
        <v>2025</v>
      </c>
      <c r="I392">
        <v>9</v>
      </c>
      <c r="J392">
        <v>3</v>
      </c>
      <c r="K392">
        <v>2</v>
      </c>
      <c r="L392" cm="1">
        <f t="array" ref="L39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3" spans="1:12" x14ac:dyDescent="0.3">
      <c r="A393" t="s">
        <v>953</v>
      </c>
      <c r="B393" t="s">
        <v>201</v>
      </c>
      <c r="C393" t="s">
        <v>29</v>
      </c>
      <c r="D393">
        <v>38</v>
      </c>
      <c r="E393" s="1">
        <v>45911</v>
      </c>
      <c r="F393" s="1">
        <v>45918</v>
      </c>
      <c r="G393" t="s">
        <v>563</v>
      </c>
      <c r="H393">
        <v>2025</v>
      </c>
      <c r="I393">
        <v>9</v>
      </c>
      <c r="J393">
        <v>3</v>
      </c>
      <c r="K393">
        <v>2</v>
      </c>
      <c r="L393" cm="1">
        <f t="array" ref="L39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4" spans="1:12" hidden="1" x14ac:dyDescent="0.3">
      <c r="A394" t="s">
        <v>954</v>
      </c>
      <c r="B394" t="s">
        <v>522</v>
      </c>
      <c r="C394" t="s">
        <v>22</v>
      </c>
      <c r="D394">
        <v>58</v>
      </c>
      <c r="E394" s="1">
        <v>45911</v>
      </c>
      <c r="F394" s="1"/>
      <c r="G394" t="s">
        <v>560</v>
      </c>
      <c r="H394">
        <v>2025</v>
      </c>
      <c r="I394">
        <v>9</v>
      </c>
      <c r="J394">
        <v>3</v>
      </c>
      <c r="K394">
        <v>2</v>
      </c>
      <c r="L394" cm="1">
        <f t="array" ref="L39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5" spans="1:12" x14ac:dyDescent="0.3">
      <c r="A395" t="s">
        <v>955</v>
      </c>
      <c r="B395" t="s">
        <v>447</v>
      </c>
      <c r="C395" t="s">
        <v>19</v>
      </c>
      <c r="D395">
        <v>79</v>
      </c>
      <c r="E395" s="1">
        <v>45911</v>
      </c>
      <c r="F395" s="1">
        <v>45923</v>
      </c>
      <c r="G395" t="s">
        <v>563</v>
      </c>
      <c r="H395">
        <v>2025</v>
      </c>
      <c r="I395">
        <v>9</v>
      </c>
      <c r="J395">
        <v>3</v>
      </c>
      <c r="K395">
        <v>2</v>
      </c>
      <c r="L395" cm="1">
        <f t="array" ref="L39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6" spans="1:12" x14ac:dyDescent="0.3">
      <c r="A396" t="s">
        <v>956</v>
      </c>
      <c r="B396" t="s">
        <v>379</v>
      </c>
      <c r="C396" t="s">
        <v>19</v>
      </c>
      <c r="D396">
        <v>76</v>
      </c>
      <c r="E396" s="1">
        <v>45911</v>
      </c>
      <c r="F396" s="1">
        <v>45917</v>
      </c>
      <c r="G396" t="s">
        <v>563</v>
      </c>
      <c r="H396">
        <v>2025</v>
      </c>
      <c r="I396">
        <v>9</v>
      </c>
      <c r="J396">
        <v>3</v>
      </c>
      <c r="K396">
        <v>2</v>
      </c>
      <c r="L396" cm="1">
        <f t="array" ref="L39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7" spans="1:12" x14ac:dyDescent="0.3">
      <c r="A397" t="s">
        <v>957</v>
      </c>
      <c r="B397" t="s">
        <v>329</v>
      </c>
      <c r="C397" t="s">
        <v>10</v>
      </c>
      <c r="D397">
        <v>59</v>
      </c>
      <c r="E397" s="1">
        <v>45911</v>
      </c>
      <c r="F397" s="1">
        <v>45917</v>
      </c>
      <c r="G397" t="s">
        <v>563</v>
      </c>
      <c r="H397">
        <v>2025</v>
      </c>
      <c r="I397">
        <v>9</v>
      </c>
      <c r="J397">
        <v>3</v>
      </c>
      <c r="K397">
        <v>2</v>
      </c>
      <c r="L397" cm="1">
        <f t="array" ref="L39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8" spans="1:12" hidden="1" x14ac:dyDescent="0.3">
      <c r="A398" t="s">
        <v>958</v>
      </c>
      <c r="B398" t="s">
        <v>230</v>
      </c>
      <c r="C398" t="s">
        <v>29</v>
      </c>
      <c r="D398">
        <v>45</v>
      </c>
      <c r="E398" s="1">
        <v>45912</v>
      </c>
      <c r="F398" s="1"/>
      <c r="G398" t="s">
        <v>560</v>
      </c>
      <c r="H398">
        <v>2025</v>
      </c>
      <c r="I398">
        <v>9</v>
      </c>
      <c r="J398">
        <v>3</v>
      </c>
      <c r="K398">
        <v>2</v>
      </c>
      <c r="L398" cm="1">
        <f t="array" ref="L39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9" spans="1:12" x14ac:dyDescent="0.3">
      <c r="A399" t="s">
        <v>959</v>
      </c>
      <c r="B399" t="s">
        <v>54</v>
      </c>
      <c r="C399" t="s">
        <v>16</v>
      </c>
      <c r="D399">
        <v>89</v>
      </c>
      <c r="E399" s="1">
        <v>45913</v>
      </c>
      <c r="F399" s="1">
        <v>45920</v>
      </c>
      <c r="G399" t="s">
        <v>563</v>
      </c>
      <c r="H399">
        <v>2025</v>
      </c>
      <c r="I399">
        <v>9</v>
      </c>
      <c r="J399">
        <v>3</v>
      </c>
      <c r="K399">
        <v>2</v>
      </c>
      <c r="L399" cm="1">
        <f t="array" ref="L39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0" spans="1:12" x14ac:dyDescent="0.3">
      <c r="A400" t="s">
        <v>960</v>
      </c>
      <c r="B400" t="s">
        <v>213</v>
      </c>
      <c r="C400" t="s">
        <v>19</v>
      </c>
      <c r="D400">
        <v>29</v>
      </c>
      <c r="E400" s="1">
        <v>45913</v>
      </c>
      <c r="F400" s="1">
        <v>45927</v>
      </c>
      <c r="G400" t="s">
        <v>563</v>
      </c>
      <c r="H400">
        <v>2025</v>
      </c>
      <c r="I400">
        <v>9</v>
      </c>
      <c r="J400">
        <v>3</v>
      </c>
      <c r="K400">
        <v>2</v>
      </c>
      <c r="L400" cm="1">
        <f t="array" ref="L40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1" spans="1:12" hidden="1" x14ac:dyDescent="0.3">
      <c r="A401" t="s">
        <v>961</v>
      </c>
      <c r="B401" t="s">
        <v>447</v>
      </c>
      <c r="C401" t="s">
        <v>10</v>
      </c>
      <c r="D401">
        <v>62</v>
      </c>
      <c r="E401" s="1">
        <v>45915</v>
      </c>
      <c r="F401" s="1"/>
      <c r="G401" t="s">
        <v>574</v>
      </c>
      <c r="H401">
        <v>2025</v>
      </c>
      <c r="I401">
        <v>9</v>
      </c>
      <c r="J401">
        <v>3</v>
      </c>
      <c r="K401">
        <v>3</v>
      </c>
      <c r="L401" cm="1">
        <f t="array" ref="L40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2" spans="1:12" hidden="1" x14ac:dyDescent="0.3">
      <c r="A402" t="s">
        <v>962</v>
      </c>
      <c r="B402" t="s">
        <v>479</v>
      </c>
      <c r="C402" t="s">
        <v>22</v>
      </c>
      <c r="D402">
        <v>31</v>
      </c>
      <c r="E402" s="1">
        <v>45915</v>
      </c>
      <c r="F402" s="1"/>
      <c r="G402" t="s">
        <v>560</v>
      </c>
      <c r="H402">
        <v>2025</v>
      </c>
      <c r="I402">
        <v>9</v>
      </c>
      <c r="J402">
        <v>3</v>
      </c>
      <c r="K402">
        <v>3</v>
      </c>
      <c r="L402" cm="1">
        <f t="array" ref="L40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3" spans="1:12" hidden="1" x14ac:dyDescent="0.3">
      <c r="A403" t="s">
        <v>963</v>
      </c>
      <c r="B403" t="s">
        <v>517</v>
      </c>
      <c r="C403" t="s">
        <v>29</v>
      </c>
      <c r="D403">
        <v>97</v>
      </c>
      <c r="E403" s="1">
        <v>45915</v>
      </c>
      <c r="F403" s="1"/>
      <c r="G403" t="s">
        <v>574</v>
      </c>
      <c r="H403">
        <v>2025</v>
      </c>
      <c r="I403">
        <v>9</v>
      </c>
      <c r="J403">
        <v>3</v>
      </c>
      <c r="K403">
        <v>3</v>
      </c>
      <c r="L403" cm="1">
        <f t="array" ref="L40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4" spans="1:12" x14ac:dyDescent="0.3">
      <c r="A404" t="s">
        <v>964</v>
      </c>
      <c r="B404" t="s">
        <v>132</v>
      </c>
      <c r="C404" t="s">
        <v>19</v>
      </c>
      <c r="D404">
        <v>101</v>
      </c>
      <c r="E404" s="1">
        <v>45916</v>
      </c>
      <c r="F404" s="1">
        <v>45927</v>
      </c>
      <c r="G404" t="s">
        <v>563</v>
      </c>
      <c r="H404">
        <v>2025</v>
      </c>
      <c r="I404">
        <v>9</v>
      </c>
      <c r="J404">
        <v>3</v>
      </c>
      <c r="K404">
        <v>3</v>
      </c>
      <c r="L404" cm="1">
        <f t="array" ref="L40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5" spans="1:12" x14ac:dyDescent="0.3">
      <c r="A405" t="s">
        <v>965</v>
      </c>
      <c r="B405" t="s">
        <v>375</v>
      </c>
      <c r="C405" t="s">
        <v>19</v>
      </c>
      <c r="D405">
        <v>17</v>
      </c>
      <c r="E405" s="1">
        <v>45917</v>
      </c>
      <c r="F405" s="1">
        <v>45921</v>
      </c>
      <c r="G405" t="s">
        <v>563</v>
      </c>
      <c r="H405">
        <v>2025</v>
      </c>
      <c r="I405">
        <v>9</v>
      </c>
      <c r="J405">
        <v>3</v>
      </c>
      <c r="K405">
        <v>3</v>
      </c>
      <c r="L405" cm="1">
        <f t="array" ref="L40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6" spans="1:12" x14ac:dyDescent="0.3">
      <c r="A406" t="s">
        <v>966</v>
      </c>
      <c r="B406" t="s">
        <v>272</v>
      </c>
      <c r="C406" t="s">
        <v>19</v>
      </c>
      <c r="D406">
        <v>56</v>
      </c>
      <c r="E406" s="1">
        <v>45917</v>
      </c>
      <c r="F406" s="1">
        <v>45922</v>
      </c>
      <c r="G406" t="s">
        <v>563</v>
      </c>
      <c r="H406">
        <v>2025</v>
      </c>
      <c r="I406">
        <v>9</v>
      </c>
      <c r="J406">
        <v>3</v>
      </c>
      <c r="K406">
        <v>3</v>
      </c>
      <c r="L406" cm="1">
        <f t="array" ref="L40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7" spans="1:12" hidden="1" x14ac:dyDescent="0.3">
      <c r="A407" t="s">
        <v>967</v>
      </c>
      <c r="B407" t="s">
        <v>244</v>
      </c>
      <c r="C407" t="s">
        <v>10</v>
      </c>
      <c r="D407">
        <v>24</v>
      </c>
      <c r="E407" s="1">
        <v>45918</v>
      </c>
      <c r="F407" s="1"/>
      <c r="G407" t="s">
        <v>574</v>
      </c>
      <c r="H407">
        <v>2025</v>
      </c>
      <c r="I407">
        <v>9</v>
      </c>
      <c r="J407">
        <v>3</v>
      </c>
      <c r="K407">
        <v>3</v>
      </c>
      <c r="L407" cm="1">
        <f t="array" ref="L40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8" spans="1:12" x14ac:dyDescent="0.3">
      <c r="A408" t="s">
        <v>968</v>
      </c>
      <c r="B408" t="s">
        <v>456</v>
      </c>
      <c r="C408" t="s">
        <v>16</v>
      </c>
      <c r="D408">
        <v>10</v>
      </c>
      <c r="E408" s="1">
        <v>45918</v>
      </c>
      <c r="F408" s="1">
        <v>45924</v>
      </c>
      <c r="G408" t="s">
        <v>563</v>
      </c>
      <c r="H408">
        <v>2025</v>
      </c>
      <c r="I408">
        <v>9</v>
      </c>
      <c r="J408">
        <v>3</v>
      </c>
      <c r="K408">
        <v>3</v>
      </c>
      <c r="L408" cm="1">
        <f t="array" ref="L40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9" spans="1:12" hidden="1" x14ac:dyDescent="0.3">
      <c r="A409" t="s">
        <v>969</v>
      </c>
      <c r="B409" t="s">
        <v>400</v>
      </c>
      <c r="C409" t="s">
        <v>10</v>
      </c>
      <c r="D409">
        <v>62</v>
      </c>
      <c r="E409" s="1">
        <v>45918</v>
      </c>
      <c r="F409" s="1"/>
      <c r="G409" t="s">
        <v>574</v>
      </c>
      <c r="H409">
        <v>2025</v>
      </c>
      <c r="I409">
        <v>9</v>
      </c>
      <c r="J409">
        <v>3</v>
      </c>
      <c r="K409">
        <v>3</v>
      </c>
      <c r="L409" cm="1">
        <f t="array" ref="L40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0" spans="1:12" x14ac:dyDescent="0.3">
      <c r="A410" t="s">
        <v>970</v>
      </c>
      <c r="B410" t="s">
        <v>433</v>
      </c>
      <c r="C410" t="s">
        <v>10</v>
      </c>
      <c r="D410">
        <v>30</v>
      </c>
      <c r="E410" s="1">
        <v>45920</v>
      </c>
      <c r="F410" s="1">
        <v>45930</v>
      </c>
      <c r="G410" t="s">
        <v>563</v>
      </c>
      <c r="H410">
        <v>2025</v>
      </c>
      <c r="I410">
        <v>9</v>
      </c>
      <c r="J410">
        <v>3</v>
      </c>
      <c r="K410">
        <v>3</v>
      </c>
      <c r="L410" cm="1">
        <f t="array" ref="L41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1" spans="1:12" hidden="1" x14ac:dyDescent="0.3">
      <c r="A411" t="s">
        <v>971</v>
      </c>
      <c r="B411" t="s">
        <v>116</v>
      </c>
      <c r="C411" t="s">
        <v>19</v>
      </c>
      <c r="D411">
        <v>39</v>
      </c>
      <c r="E411" s="1">
        <v>45920</v>
      </c>
      <c r="F411" s="1"/>
      <c r="G411" t="s">
        <v>574</v>
      </c>
      <c r="H411">
        <v>2025</v>
      </c>
      <c r="I411">
        <v>9</v>
      </c>
      <c r="J411">
        <v>3</v>
      </c>
      <c r="K411">
        <v>3</v>
      </c>
      <c r="L411" cm="1">
        <f t="array" ref="L41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2" spans="1:12" x14ac:dyDescent="0.3">
      <c r="A412" t="s">
        <v>972</v>
      </c>
      <c r="B412" t="s">
        <v>109</v>
      </c>
      <c r="C412" t="s">
        <v>19</v>
      </c>
      <c r="D412">
        <v>105</v>
      </c>
      <c r="E412" s="1">
        <v>45921</v>
      </c>
      <c r="F412" s="1">
        <v>45929</v>
      </c>
      <c r="G412" t="s">
        <v>563</v>
      </c>
      <c r="H412">
        <v>2025</v>
      </c>
      <c r="I412">
        <v>9</v>
      </c>
      <c r="J412">
        <v>3</v>
      </c>
      <c r="K412">
        <v>4</v>
      </c>
      <c r="L412" cm="1">
        <f t="array" ref="L41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3" spans="1:12" x14ac:dyDescent="0.3">
      <c r="A413" t="s">
        <v>973</v>
      </c>
      <c r="B413" t="s">
        <v>352</v>
      </c>
      <c r="C413" t="s">
        <v>16</v>
      </c>
      <c r="D413">
        <v>51</v>
      </c>
      <c r="E413" s="1">
        <v>45922</v>
      </c>
      <c r="F413" s="1">
        <v>45931</v>
      </c>
      <c r="G413" t="s">
        <v>563</v>
      </c>
      <c r="H413">
        <v>2025</v>
      </c>
      <c r="I413">
        <v>9</v>
      </c>
      <c r="J413">
        <v>3</v>
      </c>
      <c r="K413">
        <v>4</v>
      </c>
      <c r="L413" cm="1">
        <f t="array" ref="L41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4" spans="1:12" x14ac:dyDescent="0.3">
      <c r="A414" t="s">
        <v>974</v>
      </c>
      <c r="B414" t="s">
        <v>486</v>
      </c>
      <c r="C414" t="s">
        <v>29</v>
      </c>
      <c r="D414">
        <v>102</v>
      </c>
      <c r="E414" s="1">
        <v>45923</v>
      </c>
      <c r="F414" s="1">
        <v>45927</v>
      </c>
      <c r="G414" t="s">
        <v>563</v>
      </c>
      <c r="H414">
        <v>2025</v>
      </c>
      <c r="I414">
        <v>9</v>
      </c>
      <c r="J414">
        <v>3</v>
      </c>
      <c r="K414">
        <v>4</v>
      </c>
      <c r="L414" cm="1">
        <f t="array" ref="L41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5" spans="1:12" hidden="1" x14ac:dyDescent="0.3">
      <c r="A415" t="s">
        <v>975</v>
      </c>
      <c r="B415" t="s">
        <v>430</v>
      </c>
      <c r="C415" t="s">
        <v>22</v>
      </c>
      <c r="D415">
        <v>60</v>
      </c>
      <c r="E415" s="1">
        <v>45924</v>
      </c>
      <c r="F415" s="1"/>
      <c r="G415" t="s">
        <v>560</v>
      </c>
      <c r="H415">
        <v>2025</v>
      </c>
      <c r="I415">
        <v>9</v>
      </c>
      <c r="J415">
        <v>3</v>
      </c>
      <c r="K415">
        <v>4</v>
      </c>
      <c r="L415" cm="1">
        <f t="array" ref="L41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6" spans="1:12" x14ac:dyDescent="0.3">
      <c r="A416" t="s">
        <v>976</v>
      </c>
      <c r="B416" t="s">
        <v>336</v>
      </c>
      <c r="C416" t="s">
        <v>22</v>
      </c>
      <c r="D416">
        <v>38</v>
      </c>
      <c r="E416" s="1">
        <v>45924</v>
      </c>
      <c r="F416" s="1">
        <v>45930</v>
      </c>
      <c r="G416" t="s">
        <v>563</v>
      </c>
      <c r="H416">
        <v>2025</v>
      </c>
      <c r="I416">
        <v>9</v>
      </c>
      <c r="J416">
        <v>3</v>
      </c>
      <c r="K416">
        <v>4</v>
      </c>
      <c r="L416" cm="1">
        <f t="array" ref="L41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7" spans="1:12" x14ac:dyDescent="0.3">
      <c r="A417" t="s">
        <v>977</v>
      </c>
      <c r="B417" t="s">
        <v>220</v>
      </c>
      <c r="C417" t="s">
        <v>10</v>
      </c>
      <c r="D417">
        <v>41</v>
      </c>
      <c r="E417" s="1">
        <v>45925</v>
      </c>
      <c r="F417" s="1">
        <v>45929</v>
      </c>
      <c r="G417" t="s">
        <v>563</v>
      </c>
      <c r="H417">
        <v>2025</v>
      </c>
      <c r="I417">
        <v>9</v>
      </c>
      <c r="J417">
        <v>3</v>
      </c>
      <c r="K417">
        <v>4</v>
      </c>
      <c r="L417" cm="1">
        <f t="array" ref="L41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8" spans="1:12" x14ac:dyDescent="0.3">
      <c r="A418" t="s">
        <v>978</v>
      </c>
      <c r="B418" t="s">
        <v>413</v>
      </c>
      <c r="C418" t="s">
        <v>10</v>
      </c>
      <c r="D418">
        <v>28</v>
      </c>
      <c r="E418" s="1">
        <v>45925</v>
      </c>
      <c r="F418" s="1">
        <v>45929</v>
      </c>
      <c r="G418" t="s">
        <v>563</v>
      </c>
      <c r="H418">
        <v>2025</v>
      </c>
      <c r="I418">
        <v>9</v>
      </c>
      <c r="J418">
        <v>3</v>
      </c>
      <c r="K418">
        <v>4</v>
      </c>
      <c r="L418" cm="1">
        <f t="array" ref="L41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9" spans="1:12" hidden="1" x14ac:dyDescent="0.3">
      <c r="A419" t="s">
        <v>979</v>
      </c>
      <c r="B419" t="s">
        <v>298</v>
      </c>
      <c r="C419" t="s">
        <v>19</v>
      </c>
      <c r="D419">
        <v>89</v>
      </c>
      <c r="E419" s="1">
        <v>45925</v>
      </c>
      <c r="F419" s="1"/>
      <c r="G419" t="s">
        <v>560</v>
      </c>
      <c r="H419">
        <v>2025</v>
      </c>
      <c r="I419">
        <v>9</v>
      </c>
      <c r="J419">
        <v>3</v>
      </c>
      <c r="K419">
        <v>4</v>
      </c>
      <c r="L419" cm="1">
        <f t="array" ref="L41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0" spans="1:12" x14ac:dyDescent="0.3">
      <c r="A420" t="s">
        <v>980</v>
      </c>
      <c r="B420" t="s">
        <v>183</v>
      </c>
      <c r="C420" t="s">
        <v>10</v>
      </c>
      <c r="D420">
        <v>89</v>
      </c>
      <c r="E420" s="1">
        <v>45926</v>
      </c>
      <c r="F420" s="1">
        <v>45936</v>
      </c>
      <c r="G420" t="s">
        <v>563</v>
      </c>
      <c r="H420">
        <v>2025</v>
      </c>
      <c r="I420">
        <v>9</v>
      </c>
      <c r="J420">
        <v>3</v>
      </c>
      <c r="K420">
        <v>4</v>
      </c>
      <c r="L420" cm="1">
        <f t="array" ref="L42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1" spans="1:12" hidden="1" x14ac:dyDescent="0.3">
      <c r="A421" t="s">
        <v>981</v>
      </c>
      <c r="B421" t="s">
        <v>34</v>
      </c>
      <c r="C421" t="s">
        <v>29</v>
      </c>
      <c r="D421">
        <v>39</v>
      </c>
      <c r="E421" s="1">
        <v>45926</v>
      </c>
      <c r="F421" s="1"/>
      <c r="G421" t="s">
        <v>560</v>
      </c>
      <c r="H421">
        <v>2025</v>
      </c>
      <c r="I421">
        <v>9</v>
      </c>
      <c r="J421">
        <v>3</v>
      </c>
      <c r="K421">
        <v>4</v>
      </c>
      <c r="L421" cm="1">
        <f t="array" ref="L42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2" spans="1:12" x14ac:dyDescent="0.3">
      <c r="A422" t="s">
        <v>982</v>
      </c>
      <c r="B422" t="s">
        <v>78</v>
      </c>
      <c r="C422" t="s">
        <v>19</v>
      </c>
      <c r="D422">
        <v>101</v>
      </c>
      <c r="E422" s="1">
        <v>45927</v>
      </c>
      <c r="F422" s="1">
        <v>45937</v>
      </c>
      <c r="G422" t="s">
        <v>563</v>
      </c>
      <c r="H422">
        <v>2025</v>
      </c>
      <c r="I422">
        <v>9</v>
      </c>
      <c r="J422">
        <v>3</v>
      </c>
      <c r="K422">
        <v>4</v>
      </c>
      <c r="L422" cm="1">
        <f t="array" ref="L42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3" spans="1:12" hidden="1" x14ac:dyDescent="0.3">
      <c r="A423" t="s">
        <v>983</v>
      </c>
      <c r="B423" t="s">
        <v>205</v>
      </c>
      <c r="C423" t="s">
        <v>29</v>
      </c>
      <c r="D423">
        <v>37</v>
      </c>
      <c r="E423" s="1">
        <v>45927</v>
      </c>
      <c r="F423" s="1"/>
      <c r="G423" t="s">
        <v>560</v>
      </c>
      <c r="H423">
        <v>2025</v>
      </c>
      <c r="I423">
        <v>9</v>
      </c>
      <c r="J423">
        <v>3</v>
      </c>
      <c r="K423">
        <v>4</v>
      </c>
      <c r="L423" cm="1">
        <f t="array" ref="L42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4" spans="1:12" hidden="1" x14ac:dyDescent="0.3">
      <c r="A424" t="s">
        <v>984</v>
      </c>
      <c r="B424" t="s">
        <v>132</v>
      </c>
      <c r="C424" t="s">
        <v>10</v>
      </c>
      <c r="D424">
        <v>63</v>
      </c>
      <c r="E424" s="1">
        <v>45927</v>
      </c>
      <c r="F424" s="1"/>
      <c r="G424" t="s">
        <v>560</v>
      </c>
      <c r="H424">
        <v>2025</v>
      </c>
      <c r="I424">
        <v>9</v>
      </c>
      <c r="J424">
        <v>3</v>
      </c>
      <c r="K424">
        <v>4</v>
      </c>
      <c r="L424" cm="1">
        <f t="array" ref="L42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5" spans="1:12" x14ac:dyDescent="0.3">
      <c r="A425" t="s">
        <v>985</v>
      </c>
      <c r="B425" t="s">
        <v>310</v>
      </c>
      <c r="C425" t="s">
        <v>22</v>
      </c>
      <c r="D425">
        <v>101</v>
      </c>
      <c r="E425" s="1">
        <v>45929</v>
      </c>
      <c r="F425" s="1">
        <v>45938</v>
      </c>
      <c r="G425" t="s">
        <v>563</v>
      </c>
      <c r="H425">
        <v>2025</v>
      </c>
      <c r="I425">
        <v>9</v>
      </c>
      <c r="J425">
        <v>3</v>
      </c>
      <c r="K425">
        <v>5</v>
      </c>
      <c r="L425" cm="1">
        <f t="array" ref="L42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6" spans="1:12" x14ac:dyDescent="0.3">
      <c r="A426" t="s">
        <v>986</v>
      </c>
      <c r="B426" t="s">
        <v>382</v>
      </c>
      <c r="C426" t="s">
        <v>19</v>
      </c>
      <c r="D426">
        <v>98</v>
      </c>
      <c r="E426" s="1">
        <v>45930</v>
      </c>
      <c r="F426" s="1">
        <v>45933</v>
      </c>
      <c r="G426" t="s">
        <v>563</v>
      </c>
      <c r="H426">
        <v>2025</v>
      </c>
      <c r="I426">
        <v>9</v>
      </c>
      <c r="J426">
        <v>3</v>
      </c>
      <c r="K426">
        <v>5</v>
      </c>
      <c r="L426" cm="1">
        <f t="array" ref="L42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7" spans="1:12" hidden="1" x14ac:dyDescent="0.3">
      <c r="A427" t="s">
        <v>987</v>
      </c>
      <c r="B427" t="s">
        <v>517</v>
      </c>
      <c r="C427" t="s">
        <v>16</v>
      </c>
      <c r="D427">
        <v>88</v>
      </c>
      <c r="E427" s="1">
        <v>45930</v>
      </c>
      <c r="F427" s="1"/>
      <c r="G427" t="s">
        <v>574</v>
      </c>
      <c r="H427">
        <v>2025</v>
      </c>
      <c r="I427">
        <v>10</v>
      </c>
      <c r="J427">
        <v>4</v>
      </c>
      <c r="K427">
        <v>1</v>
      </c>
      <c r="L427" cm="1">
        <f t="array" ref="L42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28" spans="1:12" x14ac:dyDescent="0.3">
      <c r="A428" t="s">
        <v>988</v>
      </c>
      <c r="B428" t="s">
        <v>498</v>
      </c>
      <c r="C428" t="s">
        <v>10</v>
      </c>
      <c r="D428">
        <v>20</v>
      </c>
      <c r="E428" s="1">
        <v>45931</v>
      </c>
      <c r="F428" s="1">
        <v>45936</v>
      </c>
      <c r="G428" t="s">
        <v>563</v>
      </c>
      <c r="H428">
        <v>2025</v>
      </c>
      <c r="I428">
        <v>10</v>
      </c>
      <c r="J428">
        <v>4</v>
      </c>
      <c r="K428">
        <v>1</v>
      </c>
      <c r="L428" cm="1">
        <f t="array" ref="L42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29" spans="1:12" x14ac:dyDescent="0.3">
      <c r="A429" t="s">
        <v>989</v>
      </c>
      <c r="B429" t="s">
        <v>280</v>
      </c>
      <c r="C429" t="s">
        <v>19</v>
      </c>
      <c r="D429">
        <v>61</v>
      </c>
      <c r="E429" s="1">
        <v>45931</v>
      </c>
      <c r="F429" s="1">
        <v>45945</v>
      </c>
      <c r="G429" t="s">
        <v>563</v>
      </c>
      <c r="H429">
        <v>2025</v>
      </c>
      <c r="I429">
        <v>10</v>
      </c>
      <c r="J429">
        <v>4</v>
      </c>
      <c r="K429">
        <v>1</v>
      </c>
      <c r="L429" cm="1">
        <f t="array" ref="L42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0" spans="1:12" hidden="1" x14ac:dyDescent="0.3">
      <c r="A430" t="s">
        <v>990</v>
      </c>
      <c r="B430" t="s">
        <v>139</v>
      </c>
      <c r="C430" t="s">
        <v>22</v>
      </c>
      <c r="D430">
        <v>60</v>
      </c>
      <c r="E430" s="1">
        <v>45932</v>
      </c>
      <c r="F430" s="1"/>
      <c r="G430" t="s">
        <v>560</v>
      </c>
      <c r="H430">
        <v>2025</v>
      </c>
      <c r="I430">
        <v>10</v>
      </c>
      <c r="J430">
        <v>4</v>
      </c>
      <c r="K430">
        <v>1</v>
      </c>
      <c r="L430" cm="1">
        <f t="array" ref="L43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1" spans="1:12" x14ac:dyDescent="0.3">
      <c r="A431" t="s">
        <v>991</v>
      </c>
      <c r="B431" t="s">
        <v>301</v>
      </c>
      <c r="C431" t="s">
        <v>19</v>
      </c>
      <c r="D431">
        <v>53</v>
      </c>
      <c r="E431" s="1">
        <v>45932</v>
      </c>
      <c r="F431" s="1">
        <v>45940</v>
      </c>
      <c r="G431" t="s">
        <v>563</v>
      </c>
      <c r="H431">
        <v>2025</v>
      </c>
      <c r="I431">
        <v>10</v>
      </c>
      <c r="J431">
        <v>4</v>
      </c>
      <c r="K431">
        <v>1</v>
      </c>
      <c r="L431" cm="1">
        <f t="array" ref="L43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2" spans="1:12" x14ac:dyDescent="0.3">
      <c r="A432" t="s">
        <v>992</v>
      </c>
      <c r="B432" t="s">
        <v>77</v>
      </c>
      <c r="C432" t="s">
        <v>29</v>
      </c>
      <c r="D432">
        <v>73</v>
      </c>
      <c r="E432" s="1">
        <v>45934</v>
      </c>
      <c r="F432" s="1">
        <v>45945</v>
      </c>
      <c r="G432" t="s">
        <v>563</v>
      </c>
      <c r="H432">
        <v>2025</v>
      </c>
      <c r="I432">
        <v>10</v>
      </c>
      <c r="J432">
        <v>4</v>
      </c>
      <c r="K432">
        <v>1</v>
      </c>
      <c r="L432" cm="1">
        <f t="array" ref="L43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3" spans="1:12" hidden="1" x14ac:dyDescent="0.3">
      <c r="A433" t="s">
        <v>993</v>
      </c>
      <c r="B433" t="s">
        <v>211</v>
      </c>
      <c r="C433" t="s">
        <v>10</v>
      </c>
      <c r="D433">
        <v>25</v>
      </c>
      <c r="E433" s="1">
        <v>45935</v>
      </c>
      <c r="F433" s="1"/>
      <c r="G433" t="s">
        <v>560</v>
      </c>
      <c r="H433">
        <v>2025</v>
      </c>
      <c r="I433">
        <v>10</v>
      </c>
      <c r="J433">
        <v>4</v>
      </c>
      <c r="K433">
        <v>1</v>
      </c>
      <c r="L433" cm="1">
        <f t="array" ref="L43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4" spans="1:12" x14ac:dyDescent="0.3">
      <c r="A434" t="s">
        <v>994</v>
      </c>
      <c r="B434" t="s">
        <v>483</v>
      </c>
      <c r="C434" t="s">
        <v>16</v>
      </c>
      <c r="D434">
        <v>51</v>
      </c>
      <c r="E434" s="1">
        <v>45935</v>
      </c>
      <c r="F434" s="1">
        <v>45938</v>
      </c>
      <c r="G434" t="s">
        <v>563</v>
      </c>
      <c r="H434">
        <v>2025</v>
      </c>
      <c r="I434">
        <v>10</v>
      </c>
      <c r="J434">
        <v>4</v>
      </c>
      <c r="K434">
        <v>1</v>
      </c>
      <c r="L434" cm="1">
        <f t="array" ref="L43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5" spans="1:12" x14ac:dyDescent="0.3">
      <c r="A435" t="s">
        <v>995</v>
      </c>
      <c r="B435" t="s">
        <v>436</v>
      </c>
      <c r="C435" t="s">
        <v>22</v>
      </c>
      <c r="D435">
        <v>91</v>
      </c>
      <c r="E435" s="1">
        <v>45935</v>
      </c>
      <c r="F435" s="1">
        <v>45939</v>
      </c>
      <c r="G435" t="s">
        <v>563</v>
      </c>
      <c r="H435">
        <v>2025</v>
      </c>
      <c r="I435">
        <v>10</v>
      </c>
      <c r="J435">
        <v>4</v>
      </c>
      <c r="K435">
        <v>1</v>
      </c>
      <c r="L435" cm="1">
        <f t="array" ref="L43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6" spans="1:12" hidden="1" x14ac:dyDescent="0.3">
      <c r="A436" t="s">
        <v>996</v>
      </c>
      <c r="B436" t="s">
        <v>372</v>
      </c>
      <c r="C436" t="s">
        <v>29</v>
      </c>
      <c r="D436">
        <v>81</v>
      </c>
      <c r="E436" s="1">
        <v>45936</v>
      </c>
      <c r="F436" s="1"/>
      <c r="G436" t="s">
        <v>574</v>
      </c>
      <c r="H436">
        <v>2025</v>
      </c>
      <c r="I436">
        <v>10</v>
      </c>
      <c r="J436">
        <v>4</v>
      </c>
      <c r="K436">
        <v>1</v>
      </c>
      <c r="L436" cm="1">
        <f t="array" ref="L43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7" spans="1:12" hidden="1" x14ac:dyDescent="0.3">
      <c r="A437" t="s">
        <v>997</v>
      </c>
      <c r="B437" t="s">
        <v>336</v>
      </c>
      <c r="C437" t="s">
        <v>10</v>
      </c>
      <c r="D437">
        <v>71</v>
      </c>
      <c r="E437" s="1">
        <v>45937</v>
      </c>
      <c r="F437" s="1"/>
      <c r="G437" t="s">
        <v>574</v>
      </c>
      <c r="H437">
        <v>2025</v>
      </c>
      <c r="I437">
        <v>10</v>
      </c>
      <c r="J437">
        <v>4</v>
      </c>
      <c r="K437">
        <v>2</v>
      </c>
      <c r="L437" cm="1">
        <f t="array" ref="L43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8" spans="1:12" x14ac:dyDescent="0.3">
      <c r="A438" t="s">
        <v>998</v>
      </c>
      <c r="B438" t="s">
        <v>360</v>
      </c>
      <c r="C438" t="s">
        <v>10</v>
      </c>
      <c r="D438">
        <v>15</v>
      </c>
      <c r="E438" s="1">
        <v>45941</v>
      </c>
      <c r="F438" s="1">
        <v>45944</v>
      </c>
      <c r="G438" t="s">
        <v>563</v>
      </c>
      <c r="H438">
        <v>2025</v>
      </c>
      <c r="I438">
        <v>10</v>
      </c>
      <c r="J438">
        <v>4</v>
      </c>
      <c r="K438">
        <v>2</v>
      </c>
      <c r="L438" cm="1">
        <f t="array" ref="L43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9" spans="1:12" x14ac:dyDescent="0.3">
      <c r="A439" t="s">
        <v>999</v>
      </c>
      <c r="B439" t="s">
        <v>276</v>
      </c>
      <c r="C439" t="s">
        <v>19</v>
      </c>
      <c r="D439">
        <v>102</v>
      </c>
      <c r="E439" s="1">
        <v>45941</v>
      </c>
      <c r="F439" s="1">
        <v>45953</v>
      </c>
      <c r="G439" t="s">
        <v>563</v>
      </c>
      <c r="H439">
        <v>2025</v>
      </c>
      <c r="I439">
        <v>10</v>
      </c>
      <c r="J439">
        <v>4</v>
      </c>
      <c r="K439">
        <v>2</v>
      </c>
      <c r="L439" cm="1">
        <f t="array" ref="L43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0" spans="1:12" hidden="1" x14ac:dyDescent="0.3">
      <c r="A440" t="s">
        <v>1000</v>
      </c>
      <c r="B440" t="s">
        <v>211</v>
      </c>
      <c r="C440" t="s">
        <v>10</v>
      </c>
      <c r="D440">
        <v>21</v>
      </c>
      <c r="E440" s="1">
        <v>45942</v>
      </c>
      <c r="F440" s="1"/>
      <c r="G440" t="s">
        <v>574</v>
      </c>
      <c r="H440">
        <v>2025</v>
      </c>
      <c r="I440">
        <v>10</v>
      </c>
      <c r="J440">
        <v>4</v>
      </c>
      <c r="K440">
        <v>2</v>
      </c>
      <c r="L440" cm="1">
        <f t="array" ref="L44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1" spans="1:12" x14ac:dyDescent="0.3">
      <c r="A441" t="s">
        <v>1001</v>
      </c>
      <c r="B441" t="s">
        <v>516</v>
      </c>
      <c r="C441" t="s">
        <v>19</v>
      </c>
      <c r="D441">
        <v>45</v>
      </c>
      <c r="E441" s="1">
        <v>45943</v>
      </c>
      <c r="F441" s="1">
        <v>45947</v>
      </c>
      <c r="G441" t="s">
        <v>563</v>
      </c>
      <c r="H441">
        <v>2025</v>
      </c>
      <c r="I441">
        <v>10</v>
      </c>
      <c r="J441">
        <v>4</v>
      </c>
      <c r="K441">
        <v>2</v>
      </c>
      <c r="L441" cm="1">
        <f t="array" ref="L44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2" spans="1:12" hidden="1" x14ac:dyDescent="0.3">
      <c r="A442" t="s">
        <v>1002</v>
      </c>
      <c r="B442" t="s">
        <v>367</v>
      </c>
      <c r="C442" t="s">
        <v>22</v>
      </c>
      <c r="D442">
        <v>82</v>
      </c>
      <c r="E442" s="1">
        <v>45943</v>
      </c>
      <c r="F442" s="1"/>
      <c r="G442" t="s">
        <v>574</v>
      </c>
      <c r="H442">
        <v>2025</v>
      </c>
      <c r="I442">
        <v>10</v>
      </c>
      <c r="J442">
        <v>4</v>
      </c>
      <c r="K442">
        <v>2</v>
      </c>
      <c r="L442" cm="1">
        <f t="array" ref="L44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3" spans="1:12" hidden="1" x14ac:dyDescent="0.3">
      <c r="A443" t="s">
        <v>1003</v>
      </c>
      <c r="B443" t="s">
        <v>202</v>
      </c>
      <c r="C443" t="s">
        <v>22</v>
      </c>
      <c r="D443">
        <v>32</v>
      </c>
      <c r="E443" s="1">
        <v>45944</v>
      </c>
      <c r="F443" s="1"/>
      <c r="G443" t="s">
        <v>574</v>
      </c>
      <c r="H443">
        <v>2025</v>
      </c>
      <c r="I443">
        <v>10</v>
      </c>
      <c r="J443">
        <v>4</v>
      </c>
      <c r="K443">
        <v>3</v>
      </c>
      <c r="L443" cm="1">
        <f t="array" ref="L44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4" spans="1:12" x14ac:dyDescent="0.3">
      <c r="A444" t="s">
        <v>1004</v>
      </c>
      <c r="B444" t="s">
        <v>385</v>
      </c>
      <c r="C444" t="s">
        <v>10</v>
      </c>
      <c r="D444">
        <v>13</v>
      </c>
      <c r="E444" s="1">
        <v>45945</v>
      </c>
      <c r="F444" s="1">
        <v>45958</v>
      </c>
      <c r="G444" t="s">
        <v>563</v>
      </c>
      <c r="H444">
        <v>2025</v>
      </c>
      <c r="I444">
        <v>10</v>
      </c>
      <c r="J444">
        <v>4</v>
      </c>
      <c r="K444">
        <v>3</v>
      </c>
      <c r="L444" cm="1">
        <f t="array" ref="L44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5" spans="1:12" x14ac:dyDescent="0.3">
      <c r="A445" t="s">
        <v>1005</v>
      </c>
      <c r="B445" t="s">
        <v>392</v>
      </c>
      <c r="C445" t="s">
        <v>16</v>
      </c>
      <c r="D445">
        <v>100</v>
      </c>
      <c r="E445" s="1">
        <v>45945</v>
      </c>
      <c r="F445" s="1">
        <v>45953</v>
      </c>
      <c r="G445" t="s">
        <v>563</v>
      </c>
      <c r="H445">
        <v>2025</v>
      </c>
      <c r="I445">
        <v>10</v>
      </c>
      <c r="J445">
        <v>4</v>
      </c>
      <c r="K445">
        <v>3</v>
      </c>
      <c r="L445" cm="1">
        <f t="array" ref="L44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6" spans="1:12" x14ac:dyDescent="0.3">
      <c r="A446" t="s">
        <v>1006</v>
      </c>
      <c r="B446" t="s">
        <v>70</v>
      </c>
      <c r="C446" t="s">
        <v>29</v>
      </c>
      <c r="D446">
        <v>64</v>
      </c>
      <c r="E446" s="1">
        <v>45946</v>
      </c>
      <c r="F446" s="1">
        <v>45956</v>
      </c>
      <c r="G446" t="s">
        <v>563</v>
      </c>
      <c r="H446">
        <v>2025</v>
      </c>
      <c r="I446">
        <v>10</v>
      </c>
      <c r="J446">
        <v>4</v>
      </c>
      <c r="K446">
        <v>3</v>
      </c>
      <c r="L446" cm="1">
        <f t="array" ref="L44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7" spans="1:12" x14ac:dyDescent="0.3">
      <c r="A447" t="s">
        <v>1007</v>
      </c>
      <c r="B447" t="s">
        <v>212</v>
      </c>
      <c r="C447" t="s">
        <v>10</v>
      </c>
      <c r="D447">
        <v>79</v>
      </c>
      <c r="E447" s="1">
        <v>45948</v>
      </c>
      <c r="F447" s="1">
        <v>45954</v>
      </c>
      <c r="G447" t="s">
        <v>563</v>
      </c>
      <c r="H447">
        <v>2025</v>
      </c>
      <c r="I447">
        <v>10</v>
      </c>
      <c r="J447">
        <v>4</v>
      </c>
      <c r="K447">
        <v>3</v>
      </c>
      <c r="L447" cm="1">
        <f t="array" ref="L44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8" spans="1:12" x14ac:dyDescent="0.3">
      <c r="A448" t="s">
        <v>1008</v>
      </c>
      <c r="B448" t="s">
        <v>135</v>
      </c>
      <c r="C448" t="s">
        <v>29</v>
      </c>
      <c r="D448">
        <v>61</v>
      </c>
      <c r="E448" s="1">
        <v>45948</v>
      </c>
      <c r="F448" s="1">
        <v>45952</v>
      </c>
      <c r="G448" t="s">
        <v>563</v>
      </c>
      <c r="H448">
        <v>2025</v>
      </c>
      <c r="I448">
        <v>10</v>
      </c>
      <c r="J448">
        <v>4</v>
      </c>
      <c r="K448">
        <v>3</v>
      </c>
      <c r="L448" cm="1">
        <f t="array" ref="L44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9" spans="1:12" x14ac:dyDescent="0.3">
      <c r="A449" t="s">
        <v>1009</v>
      </c>
      <c r="B449" t="s">
        <v>232</v>
      </c>
      <c r="C449" t="s">
        <v>29</v>
      </c>
      <c r="D449">
        <v>58</v>
      </c>
      <c r="E449" s="1">
        <v>45948</v>
      </c>
      <c r="F449" s="1">
        <v>45962</v>
      </c>
      <c r="G449" t="s">
        <v>563</v>
      </c>
      <c r="H449">
        <v>2025</v>
      </c>
      <c r="I449">
        <v>10</v>
      </c>
      <c r="J449">
        <v>4</v>
      </c>
      <c r="K449">
        <v>3</v>
      </c>
      <c r="L449" cm="1">
        <f t="array" ref="L44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0" spans="1:12" x14ac:dyDescent="0.3">
      <c r="A450" t="s">
        <v>1010</v>
      </c>
      <c r="B450" t="s">
        <v>98</v>
      </c>
      <c r="C450" t="s">
        <v>19</v>
      </c>
      <c r="D450">
        <v>75</v>
      </c>
      <c r="E450" s="1">
        <v>45950</v>
      </c>
      <c r="F450" s="1">
        <v>45961</v>
      </c>
      <c r="G450" t="s">
        <v>563</v>
      </c>
      <c r="H450">
        <v>2025</v>
      </c>
      <c r="I450">
        <v>10</v>
      </c>
      <c r="J450">
        <v>4</v>
      </c>
      <c r="K450">
        <v>3</v>
      </c>
      <c r="L450" cm="1">
        <f t="array" ref="L45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1" spans="1:12" hidden="1" x14ac:dyDescent="0.3">
      <c r="A451" t="s">
        <v>1011</v>
      </c>
      <c r="B451" t="s">
        <v>250</v>
      </c>
      <c r="C451" t="s">
        <v>22</v>
      </c>
      <c r="D451">
        <v>107</v>
      </c>
      <c r="E451" s="1">
        <v>45950</v>
      </c>
      <c r="F451" s="1"/>
      <c r="G451" t="s">
        <v>560</v>
      </c>
      <c r="H451">
        <v>2025</v>
      </c>
      <c r="I451">
        <v>10</v>
      </c>
      <c r="J451">
        <v>4</v>
      </c>
      <c r="K451">
        <v>3</v>
      </c>
      <c r="L451" cm="1">
        <f t="array" ref="L45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2" spans="1:12" x14ac:dyDescent="0.3">
      <c r="A452" t="s">
        <v>1012</v>
      </c>
      <c r="B452" t="s">
        <v>126</v>
      </c>
      <c r="C452" t="s">
        <v>29</v>
      </c>
      <c r="D452">
        <v>54</v>
      </c>
      <c r="E452" s="1">
        <v>45950</v>
      </c>
      <c r="F452" s="1">
        <v>45955</v>
      </c>
      <c r="G452" t="s">
        <v>563</v>
      </c>
      <c r="H452">
        <v>2025</v>
      </c>
      <c r="I452">
        <v>10</v>
      </c>
      <c r="J452">
        <v>4</v>
      </c>
      <c r="K452">
        <v>3</v>
      </c>
      <c r="L452" cm="1">
        <f t="array" ref="L45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3" spans="1:12" hidden="1" x14ac:dyDescent="0.3">
      <c r="A453" t="s">
        <v>1013</v>
      </c>
      <c r="B453" t="s">
        <v>259</v>
      </c>
      <c r="C453" t="s">
        <v>29</v>
      </c>
      <c r="D453">
        <v>24</v>
      </c>
      <c r="E453" s="1">
        <v>45950</v>
      </c>
      <c r="F453" s="1"/>
      <c r="G453" t="s">
        <v>560</v>
      </c>
      <c r="H453">
        <v>2025</v>
      </c>
      <c r="I453">
        <v>10</v>
      </c>
      <c r="J453">
        <v>4</v>
      </c>
      <c r="K453">
        <v>3</v>
      </c>
      <c r="L453" cm="1">
        <f t="array" ref="L45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4" spans="1:12" x14ac:dyDescent="0.3">
      <c r="A454" t="s">
        <v>1014</v>
      </c>
      <c r="B454" t="s">
        <v>257</v>
      </c>
      <c r="C454" t="s">
        <v>16</v>
      </c>
      <c r="D454">
        <v>104</v>
      </c>
      <c r="E454" s="1">
        <v>45951</v>
      </c>
      <c r="F454" s="1">
        <v>45960</v>
      </c>
      <c r="G454" t="s">
        <v>563</v>
      </c>
      <c r="H454">
        <v>2025</v>
      </c>
      <c r="I454">
        <v>10</v>
      </c>
      <c r="J454">
        <v>4</v>
      </c>
      <c r="K454">
        <v>4</v>
      </c>
      <c r="L454" cm="1">
        <f t="array" ref="L45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5" spans="1:12" hidden="1" x14ac:dyDescent="0.3">
      <c r="A455" t="s">
        <v>1015</v>
      </c>
      <c r="B455" t="s">
        <v>458</v>
      </c>
      <c r="C455" t="s">
        <v>22</v>
      </c>
      <c r="D455">
        <v>36</v>
      </c>
      <c r="E455" s="1">
        <v>45951</v>
      </c>
      <c r="F455" s="1"/>
      <c r="G455" t="s">
        <v>574</v>
      </c>
      <c r="H455">
        <v>2025</v>
      </c>
      <c r="I455">
        <v>10</v>
      </c>
      <c r="J455">
        <v>4</v>
      </c>
      <c r="K455">
        <v>4</v>
      </c>
      <c r="L455" cm="1">
        <f t="array" ref="L45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6" spans="1:12" x14ac:dyDescent="0.3">
      <c r="A456" t="s">
        <v>1016</v>
      </c>
      <c r="B456" t="s">
        <v>206</v>
      </c>
      <c r="C456" t="s">
        <v>10</v>
      </c>
      <c r="D456">
        <v>13</v>
      </c>
      <c r="E456" s="1">
        <v>45952</v>
      </c>
      <c r="F456" s="1">
        <v>45958</v>
      </c>
      <c r="G456" t="s">
        <v>563</v>
      </c>
      <c r="H456">
        <v>2025</v>
      </c>
      <c r="I456">
        <v>10</v>
      </c>
      <c r="J456">
        <v>4</v>
      </c>
      <c r="K456">
        <v>4</v>
      </c>
      <c r="L456" cm="1">
        <f t="array" ref="L45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7" spans="1:12" x14ac:dyDescent="0.3">
      <c r="A457" t="s">
        <v>1017</v>
      </c>
      <c r="B457" t="s">
        <v>521</v>
      </c>
      <c r="C457" t="s">
        <v>22</v>
      </c>
      <c r="D457">
        <v>68</v>
      </c>
      <c r="E457" s="1">
        <v>45953</v>
      </c>
      <c r="F457" s="1">
        <v>45962</v>
      </c>
      <c r="G457" t="s">
        <v>563</v>
      </c>
      <c r="H457">
        <v>2025</v>
      </c>
      <c r="I457">
        <v>10</v>
      </c>
      <c r="J457">
        <v>4</v>
      </c>
      <c r="K457">
        <v>4</v>
      </c>
      <c r="L457" cm="1">
        <f t="array" ref="L45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8" spans="1:12" x14ac:dyDescent="0.3">
      <c r="A458" t="s">
        <v>1018</v>
      </c>
      <c r="B458" t="s">
        <v>194</v>
      </c>
      <c r="C458" t="s">
        <v>10</v>
      </c>
      <c r="D458">
        <v>37</v>
      </c>
      <c r="E458" s="1">
        <v>45953</v>
      </c>
      <c r="F458" s="1">
        <v>45961</v>
      </c>
      <c r="G458" t="s">
        <v>563</v>
      </c>
      <c r="H458">
        <v>2025</v>
      </c>
      <c r="I458">
        <v>10</v>
      </c>
      <c r="J458">
        <v>4</v>
      </c>
      <c r="K458">
        <v>4</v>
      </c>
      <c r="L458" cm="1">
        <f t="array" ref="L45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9" spans="1:12" x14ac:dyDescent="0.3">
      <c r="A459" t="s">
        <v>1019</v>
      </c>
      <c r="B459" t="s">
        <v>236</v>
      </c>
      <c r="C459" t="s">
        <v>16</v>
      </c>
      <c r="D459">
        <v>98</v>
      </c>
      <c r="E459" s="1">
        <v>45953</v>
      </c>
      <c r="F459" s="1">
        <v>45956</v>
      </c>
      <c r="G459" t="s">
        <v>563</v>
      </c>
      <c r="H459">
        <v>2025</v>
      </c>
      <c r="I459">
        <v>10</v>
      </c>
      <c r="J459">
        <v>4</v>
      </c>
      <c r="K459">
        <v>4</v>
      </c>
      <c r="L459" cm="1">
        <f t="array" ref="L45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60" spans="1:12" hidden="1" x14ac:dyDescent="0.3">
      <c r="A460" t="s">
        <v>1020</v>
      </c>
      <c r="B460" t="s">
        <v>400</v>
      </c>
      <c r="C460" t="s">
        <v>22</v>
      </c>
      <c r="D460">
        <v>29</v>
      </c>
      <c r="E460" s="1">
        <v>45954</v>
      </c>
      <c r="F460" s="1"/>
      <c r="G460" t="s">
        <v>560</v>
      </c>
      <c r="H460">
        <v>2025</v>
      </c>
      <c r="I460">
        <v>10</v>
      </c>
      <c r="J460">
        <v>4</v>
      </c>
      <c r="K460">
        <v>4</v>
      </c>
      <c r="L460" cm="1">
        <f t="array" ref="L46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61" spans="1:12" x14ac:dyDescent="0.3">
      <c r="A461" t="s">
        <v>1021</v>
      </c>
      <c r="B461" t="s">
        <v>270</v>
      </c>
      <c r="C461" t="s">
        <v>19</v>
      </c>
      <c r="D461">
        <v>69</v>
      </c>
      <c r="E461" s="1">
        <v>45955</v>
      </c>
      <c r="F461" s="1">
        <v>45958</v>
      </c>
      <c r="G461" t="s">
        <v>563</v>
      </c>
      <c r="H461">
        <v>2025</v>
      </c>
      <c r="I461">
        <v>10</v>
      </c>
      <c r="J461">
        <v>4</v>
      </c>
      <c r="K461">
        <v>4</v>
      </c>
      <c r="L461" cm="1">
        <f t="array" ref="L46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62" spans="1:12" x14ac:dyDescent="0.3">
      <c r="A462" t="s">
        <v>1022</v>
      </c>
      <c r="B462" t="s">
        <v>240</v>
      </c>
      <c r="C462" t="s">
        <v>29</v>
      </c>
      <c r="D462">
        <v>28</v>
      </c>
      <c r="E462" s="1">
        <v>45958</v>
      </c>
      <c r="F462" s="1">
        <v>45962</v>
      </c>
      <c r="G462" t="s">
        <v>563</v>
      </c>
      <c r="H462">
        <v>2025</v>
      </c>
      <c r="I462">
        <v>10</v>
      </c>
      <c r="J462">
        <v>4</v>
      </c>
      <c r="K462">
        <v>4</v>
      </c>
      <c r="L462" cm="1">
        <f t="array" ref="L46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63" spans="1:12" x14ac:dyDescent="0.3">
      <c r="A463" t="s">
        <v>1023</v>
      </c>
      <c r="B463" t="s">
        <v>357</v>
      </c>
      <c r="C463" t="s">
        <v>16</v>
      </c>
      <c r="D463">
        <v>68</v>
      </c>
      <c r="E463" s="1">
        <v>45959</v>
      </c>
      <c r="F463" s="1">
        <v>45962</v>
      </c>
      <c r="G463" t="s">
        <v>563</v>
      </c>
      <c r="H463">
        <v>2025</v>
      </c>
      <c r="I463">
        <v>10</v>
      </c>
      <c r="J463">
        <v>4</v>
      </c>
      <c r="K463">
        <v>5</v>
      </c>
      <c r="L463" cm="1">
        <f t="array" ref="L46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64" spans="1:12" x14ac:dyDescent="0.3">
      <c r="A464" t="s">
        <v>1024</v>
      </c>
      <c r="B464" t="s">
        <v>173</v>
      </c>
      <c r="C464" t="s">
        <v>19</v>
      </c>
      <c r="D464">
        <v>65</v>
      </c>
      <c r="E464" s="1">
        <v>45960</v>
      </c>
      <c r="F464" s="1">
        <v>45967</v>
      </c>
      <c r="G464" t="s">
        <v>563</v>
      </c>
      <c r="H464">
        <v>2025</v>
      </c>
      <c r="I464">
        <v>10</v>
      </c>
      <c r="J464">
        <v>4</v>
      </c>
      <c r="K464">
        <v>5</v>
      </c>
      <c r="L464" cm="1">
        <f t="array" ref="L46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65" spans="1:12" x14ac:dyDescent="0.3">
      <c r="A465" t="s">
        <v>1025</v>
      </c>
      <c r="B465" t="s">
        <v>218</v>
      </c>
      <c r="C465" t="s">
        <v>19</v>
      </c>
      <c r="D465">
        <v>100</v>
      </c>
      <c r="E465" s="1">
        <v>45961</v>
      </c>
      <c r="F465" s="1">
        <v>45973</v>
      </c>
      <c r="G465" t="s">
        <v>563</v>
      </c>
      <c r="H465">
        <v>2025</v>
      </c>
      <c r="I465">
        <v>11</v>
      </c>
      <c r="J465">
        <v>4</v>
      </c>
      <c r="K465">
        <v>1</v>
      </c>
      <c r="L465" cm="1">
        <f t="array" ref="L46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66" spans="1:12" hidden="1" x14ac:dyDescent="0.3">
      <c r="A466" t="s">
        <v>1026</v>
      </c>
      <c r="B466" t="s">
        <v>77</v>
      </c>
      <c r="C466" t="s">
        <v>10</v>
      </c>
      <c r="D466">
        <v>99</v>
      </c>
      <c r="E466" s="1">
        <v>45962</v>
      </c>
      <c r="F466" s="1"/>
      <c r="G466" t="s">
        <v>560</v>
      </c>
      <c r="H466">
        <v>2025</v>
      </c>
      <c r="I466">
        <v>11</v>
      </c>
      <c r="J466">
        <v>4</v>
      </c>
      <c r="K466">
        <v>1</v>
      </c>
      <c r="L466" cm="1">
        <f t="array" ref="L46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67" spans="1:12" hidden="1" x14ac:dyDescent="0.3">
      <c r="A467" t="s">
        <v>1027</v>
      </c>
      <c r="B467" t="s">
        <v>281</v>
      </c>
      <c r="C467" t="s">
        <v>22</v>
      </c>
      <c r="D467">
        <v>98</v>
      </c>
      <c r="E467" s="1">
        <v>45962</v>
      </c>
      <c r="F467" s="1"/>
      <c r="G467" t="s">
        <v>574</v>
      </c>
      <c r="H467">
        <v>2025</v>
      </c>
      <c r="I467">
        <v>11</v>
      </c>
      <c r="J467">
        <v>4</v>
      </c>
      <c r="K467">
        <v>1</v>
      </c>
      <c r="L467" cm="1">
        <f t="array" ref="L46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68" spans="1:12" x14ac:dyDescent="0.3">
      <c r="A468" t="s">
        <v>1028</v>
      </c>
      <c r="B468" t="s">
        <v>305</v>
      </c>
      <c r="C468" t="s">
        <v>29</v>
      </c>
      <c r="D468">
        <v>30</v>
      </c>
      <c r="E468" s="1">
        <v>45963</v>
      </c>
      <c r="F468" s="1">
        <v>45973</v>
      </c>
      <c r="G468" t="s">
        <v>563</v>
      </c>
      <c r="H468">
        <v>2025</v>
      </c>
      <c r="I468">
        <v>11</v>
      </c>
      <c r="J468">
        <v>4</v>
      </c>
      <c r="K468">
        <v>1</v>
      </c>
      <c r="L468" cm="1">
        <f t="array" ref="L46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69" spans="1:12" hidden="1" x14ac:dyDescent="0.3">
      <c r="A469" t="s">
        <v>1029</v>
      </c>
      <c r="B469" t="s">
        <v>167</v>
      </c>
      <c r="C469" t="s">
        <v>10</v>
      </c>
      <c r="D469">
        <v>49</v>
      </c>
      <c r="E469" s="1">
        <v>45964</v>
      </c>
      <c r="F469" s="1"/>
      <c r="G469" t="s">
        <v>560</v>
      </c>
      <c r="H469">
        <v>2025</v>
      </c>
      <c r="I469">
        <v>11</v>
      </c>
      <c r="J469">
        <v>4</v>
      </c>
      <c r="K469">
        <v>1</v>
      </c>
      <c r="L469" cm="1">
        <f t="array" ref="L46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0" spans="1:12" x14ac:dyDescent="0.3">
      <c r="A470" t="s">
        <v>1030</v>
      </c>
      <c r="B470" t="s">
        <v>176</v>
      </c>
      <c r="C470" t="s">
        <v>19</v>
      </c>
      <c r="D470">
        <v>42</v>
      </c>
      <c r="E470" s="1">
        <v>45967</v>
      </c>
      <c r="F470" s="1">
        <v>45970</v>
      </c>
      <c r="G470" t="s">
        <v>563</v>
      </c>
      <c r="H470">
        <v>2025</v>
      </c>
      <c r="I470">
        <v>11</v>
      </c>
      <c r="J470">
        <v>4</v>
      </c>
      <c r="K470">
        <v>1</v>
      </c>
      <c r="L470" cm="1">
        <f t="array" ref="L47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1" spans="1:12" x14ac:dyDescent="0.3">
      <c r="A471" t="s">
        <v>1031</v>
      </c>
      <c r="B471" t="s">
        <v>297</v>
      </c>
      <c r="C471" t="s">
        <v>29</v>
      </c>
      <c r="D471">
        <v>72</v>
      </c>
      <c r="E471" s="1">
        <v>45968</v>
      </c>
      <c r="F471" s="1">
        <v>45976</v>
      </c>
      <c r="G471" t="s">
        <v>563</v>
      </c>
      <c r="H471">
        <v>2025</v>
      </c>
      <c r="I471">
        <v>11</v>
      </c>
      <c r="J471">
        <v>4</v>
      </c>
      <c r="K471">
        <v>2</v>
      </c>
      <c r="L471" cm="1">
        <f t="array" ref="L47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2" spans="1:12" hidden="1" x14ac:dyDescent="0.3">
      <c r="A472" t="s">
        <v>1032</v>
      </c>
      <c r="B472" t="s">
        <v>171</v>
      </c>
      <c r="C472" t="s">
        <v>10</v>
      </c>
      <c r="D472">
        <v>93</v>
      </c>
      <c r="E472" s="1">
        <v>45968</v>
      </c>
      <c r="F472" s="1"/>
      <c r="G472" t="s">
        <v>574</v>
      </c>
      <c r="H472">
        <v>2025</v>
      </c>
      <c r="I472">
        <v>11</v>
      </c>
      <c r="J472">
        <v>4</v>
      </c>
      <c r="K472">
        <v>2</v>
      </c>
      <c r="L472" cm="1">
        <f t="array" ref="L47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3" spans="1:12" x14ac:dyDescent="0.3">
      <c r="A473" t="s">
        <v>1033</v>
      </c>
      <c r="B473" t="s">
        <v>39</v>
      </c>
      <c r="C473" t="s">
        <v>22</v>
      </c>
      <c r="D473">
        <v>74</v>
      </c>
      <c r="E473" s="1">
        <v>45969</v>
      </c>
      <c r="F473" s="1">
        <v>45974</v>
      </c>
      <c r="G473" t="s">
        <v>563</v>
      </c>
      <c r="H473">
        <v>2025</v>
      </c>
      <c r="I473">
        <v>11</v>
      </c>
      <c r="J473">
        <v>4</v>
      </c>
      <c r="K473">
        <v>2</v>
      </c>
      <c r="L473" cm="1">
        <f t="array" ref="L47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4" spans="1:12" hidden="1" x14ac:dyDescent="0.3">
      <c r="A474" t="s">
        <v>1034</v>
      </c>
      <c r="B474" t="s">
        <v>252</v>
      </c>
      <c r="C474" t="s">
        <v>19</v>
      </c>
      <c r="D474">
        <v>11</v>
      </c>
      <c r="E474" s="1">
        <v>45969</v>
      </c>
      <c r="F474" s="1"/>
      <c r="G474" t="s">
        <v>560</v>
      </c>
      <c r="H474">
        <v>2025</v>
      </c>
      <c r="I474">
        <v>11</v>
      </c>
      <c r="J474">
        <v>4</v>
      </c>
      <c r="K474">
        <v>2</v>
      </c>
      <c r="L474" cm="1">
        <f t="array" ref="L47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5" spans="1:12" x14ac:dyDescent="0.3">
      <c r="A475" t="s">
        <v>1035</v>
      </c>
      <c r="B475" t="s">
        <v>188</v>
      </c>
      <c r="C475" t="s">
        <v>22</v>
      </c>
      <c r="D475">
        <v>73</v>
      </c>
      <c r="E475" s="1">
        <v>45970</v>
      </c>
      <c r="F475" s="1">
        <v>45980</v>
      </c>
      <c r="G475" t="s">
        <v>563</v>
      </c>
      <c r="H475">
        <v>2025</v>
      </c>
      <c r="I475">
        <v>11</v>
      </c>
      <c r="J475">
        <v>4</v>
      </c>
      <c r="K475">
        <v>2</v>
      </c>
      <c r="L475" cm="1">
        <f t="array" ref="L47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6" spans="1:12" hidden="1" x14ac:dyDescent="0.3">
      <c r="A476" t="s">
        <v>1036</v>
      </c>
      <c r="B476" t="s">
        <v>388</v>
      </c>
      <c r="C476" t="s">
        <v>16</v>
      </c>
      <c r="D476">
        <v>37</v>
      </c>
      <c r="E476" s="1">
        <v>45970</v>
      </c>
      <c r="F476" s="1"/>
      <c r="G476" t="s">
        <v>574</v>
      </c>
      <c r="H476">
        <v>2025</v>
      </c>
      <c r="I476">
        <v>11</v>
      </c>
      <c r="J476">
        <v>4</v>
      </c>
      <c r="K476">
        <v>2</v>
      </c>
      <c r="L476" cm="1">
        <f t="array" ref="L47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7" spans="1:12" x14ac:dyDescent="0.3">
      <c r="A477" t="s">
        <v>1037</v>
      </c>
      <c r="B477" t="s">
        <v>354</v>
      </c>
      <c r="C477" t="s">
        <v>22</v>
      </c>
      <c r="D477">
        <v>13</v>
      </c>
      <c r="E477" s="1">
        <v>45972</v>
      </c>
      <c r="F477" s="1">
        <v>45977</v>
      </c>
      <c r="G477" t="s">
        <v>563</v>
      </c>
      <c r="H477">
        <v>2025</v>
      </c>
      <c r="I477">
        <v>11</v>
      </c>
      <c r="J477">
        <v>4</v>
      </c>
      <c r="K477">
        <v>2</v>
      </c>
      <c r="L477" cm="1">
        <f t="array" ref="L47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8" spans="1:12" hidden="1" x14ac:dyDescent="0.3">
      <c r="A478" t="s">
        <v>1038</v>
      </c>
      <c r="B478" t="s">
        <v>216</v>
      </c>
      <c r="C478" t="s">
        <v>16</v>
      </c>
      <c r="D478">
        <v>42</v>
      </c>
      <c r="E478" s="1">
        <v>45972</v>
      </c>
      <c r="F478" s="1"/>
      <c r="G478" t="s">
        <v>560</v>
      </c>
      <c r="H478">
        <v>2025</v>
      </c>
      <c r="I478">
        <v>11</v>
      </c>
      <c r="J478">
        <v>4</v>
      </c>
      <c r="K478">
        <v>2</v>
      </c>
      <c r="L478" cm="1">
        <f t="array" ref="L47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9" spans="1:12" x14ac:dyDescent="0.3">
      <c r="A479" t="s">
        <v>1039</v>
      </c>
      <c r="B479" t="s">
        <v>36</v>
      </c>
      <c r="C479" t="s">
        <v>22</v>
      </c>
      <c r="D479">
        <v>53</v>
      </c>
      <c r="E479" s="1">
        <v>45972</v>
      </c>
      <c r="F479" s="1">
        <v>45983</v>
      </c>
      <c r="G479" t="s">
        <v>563</v>
      </c>
      <c r="H479">
        <v>2025</v>
      </c>
      <c r="I479">
        <v>11</v>
      </c>
      <c r="J479">
        <v>4</v>
      </c>
      <c r="K479">
        <v>2</v>
      </c>
      <c r="L479" cm="1">
        <f t="array" ref="L47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0" spans="1:12" hidden="1" x14ac:dyDescent="0.3">
      <c r="A480" t="s">
        <v>1040</v>
      </c>
      <c r="B480" t="s">
        <v>296</v>
      </c>
      <c r="C480" t="s">
        <v>16</v>
      </c>
      <c r="D480">
        <v>58</v>
      </c>
      <c r="E480" s="1">
        <v>45973</v>
      </c>
      <c r="F480" s="1"/>
      <c r="G480" t="s">
        <v>574</v>
      </c>
      <c r="H480">
        <v>2025</v>
      </c>
      <c r="I480">
        <v>11</v>
      </c>
      <c r="J480">
        <v>4</v>
      </c>
      <c r="K480">
        <v>2</v>
      </c>
      <c r="L480" cm="1">
        <f t="array" ref="L48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1" spans="1:12" x14ac:dyDescent="0.3">
      <c r="A481" t="s">
        <v>1041</v>
      </c>
      <c r="B481" t="s">
        <v>465</v>
      </c>
      <c r="C481" t="s">
        <v>10</v>
      </c>
      <c r="D481">
        <v>28</v>
      </c>
      <c r="E481" s="1">
        <v>45974</v>
      </c>
      <c r="F481" s="1">
        <v>45978</v>
      </c>
      <c r="G481" t="s">
        <v>563</v>
      </c>
      <c r="H481">
        <v>2025</v>
      </c>
      <c r="I481">
        <v>11</v>
      </c>
      <c r="J481">
        <v>4</v>
      </c>
      <c r="K481">
        <v>2</v>
      </c>
      <c r="L481" cm="1">
        <f t="array" ref="L48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2" spans="1:12" x14ac:dyDescent="0.3">
      <c r="A482" t="s">
        <v>1042</v>
      </c>
      <c r="B482" t="s">
        <v>343</v>
      </c>
      <c r="C482" t="s">
        <v>19</v>
      </c>
      <c r="D482">
        <v>97</v>
      </c>
      <c r="E482" s="1">
        <v>45975</v>
      </c>
      <c r="F482" s="1">
        <v>45988</v>
      </c>
      <c r="G482" t="s">
        <v>563</v>
      </c>
      <c r="H482">
        <v>2025</v>
      </c>
      <c r="I482">
        <v>11</v>
      </c>
      <c r="J482">
        <v>4</v>
      </c>
      <c r="K482">
        <v>2</v>
      </c>
      <c r="L482" cm="1">
        <f t="array" ref="L48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3" spans="1:12" x14ac:dyDescent="0.3">
      <c r="A483" t="s">
        <v>1043</v>
      </c>
      <c r="B483" t="s">
        <v>341</v>
      </c>
      <c r="C483" t="s">
        <v>29</v>
      </c>
      <c r="D483">
        <v>17</v>
      </c>
      <c r="E483" s="1">
        <v>45976</v>
      </c>
      <c r="F483" s="1">
        <v>45983</v>
      </c>
      <c r="G483" t="s">
        <v>563</v>
      </c>
      <c r="H483">
        <v>2025</v>
      </c>
      <c r="I483">
        <v>11</v>
      </c>
      <c r="J483">
        <v>4</v>
      </c>
      <c r="K483">
        <v>3</v>
      </c>
      <c r="L483" cm="1">
        <f t="array" ref="L48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4" spans="1:12" hidden="1" x14ac:dyDescent="0.3">
      <c r="A484" t="s">
        <v>1044</v>
      </c>
      <c r="B484" t="s">
        <v>82</v>
      </c>
      <c r="C484" t="s">
        <v>22</v>
      </c>
      <c r="D484">
        <v>58</v>
      </c>
      <c r="E484" s="1">
        <v>45976</v>
      </c>
      <c r="F484" s="1"/>
      <c r="G484" t="s">
        <v>574</v>
      </c>
      <c r="H484">
        <v>2025</v>
      </c>
      <c r="I484">
        <v>11</v>
      </c>
      <c r="J484">
        <v>4</v>
      </c>
      <c r="K484">
        <v>3</v>
      </c>
      <c r="L484" cm="1">
        <f t="array" ref="L48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5" spans="1:12" hidden="1" x14ac:dyDescent="0.3">
      <c r="A485" t="s">
        <v>1045</v>
      </c>
      <c r="B485" t="s">
        <v>363</v>
      </c>
      <c r="C485" t="s">
        <v>29</v>
      </c>
      <c r="D485">
        <v>78</v>
      </c>
      <c r="E485" s="1">
        <v>45977</v>
      </c>
      <c r="F485" s="1"/>
      <c r="G485" t="s">
        <v>574</v>
      </c>
      <c r="H485">
        <v>2025</v>
      </c>
      <c r="I485">
        <v>11</v>
      </c>
      <c r="J485">
        <v>4</v>
      </c>
      <c r="K485">
        <v>3</v>
      </c>
      <c r="L485" cm="1">
        <f t="array" ref="L48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6" spans="1:12" hidden="1" x14ac:dyDescent="0.3">
      <c r="A486" t="s">
        <v>1046</v>
      </c>
      <c r="B486" t="s">
        <v>129</v>
      </c>
      <c r="C486" t="s">
        <v>16</v>
      </c>
      <c r="D486">
        <v>105</v>
      </c>
      <c r="E486" s="1">
        <v>45978</v>
      </c>
      <c r="F486" s="1"/>
      <c r="G486" t="s">
        <v>560</v>
      </c>
      <c r="H486">
        <v>2025</v>
      </c>
      <c r="I486">
        <v>11</v>
      </c>
      <c r="J486">
        <v>4</v>
      </c>
      <c r="K486">
        <v>3</v>
      </c>
      <c r="L486" cm="1">
        <f t="array" ref="L48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7" spans="1:12" x14ac:dyDescent="0.3">
      <c r="A487" t="s">
        <v>1047</v>
      </c>
      <c r="B487" t="s">
        <v>399</v>
      </c>
      <c r="C487" t="s">
        <v>10</v>
      </c>
      <c r="D487">
        <v>11</v>
      </c>
      <c r="E487" s="1">
        <v>45978</v>
      </c>
      <c r="F487" s="1">
        <v>45988</v>
      </c>
      <c r="G487" t="s">
        <v>563</v>
      </c>
      <c r="H487">
        <v>2025</v>
      </c>
      <c r="I487">
        <v>11</v>
      </c>
      <c r="J487">
        <v>4</v>
      </c>
      <c r="K487">
        <v>3</v>
      </c>
      <c r="L487" cm="1">
        <f t="array" ref="L48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8" spans="1:12" x14ac:dyDescent="0.3">
      <c r="A488" t="s">
        <v>1048</v>
      </c>
      <c r="B488" t="s">
        <v>264</v>
      </c>
      <c r="C488" t="s">
        <v>16</v>
      </c>
      <c r="D488">
        <v>96</v>
      </c>
      <c r="E488" s="1">
        <v>45979</v>
      </c>
      <c r="F488" s="1">
        <v>45987</v>
      </c>
      <c r="G488" t="s">
        <v>563</v>
      </c>
      <c r="H488">
        <v>2025</v>
      </c>
      <c r="I488">
        <v>11</v>
      </c>
      <c r="J488">
        <v>4</v>
      </c>
      <c r="K488">
        <v>3</v>
      </c>
      <c r="L488" cm="1">
        <f t="array" ref="L48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9" spans="1:12" hidden="1" x14ac:dyDescent="0.3">
      <c r="A489" t="s">
        <v>1049</v>
      </c>
      <c r="B489" t="s">
        <v>334</v>
      </c>
      <c r="C489" t="s">
        <v>16</v>
      </c>
      <c r="D489">
        <v>93</v>
      </c>
      <c r="E489" s="1">
        <v>45979</v>
      </c>
      <c r="F489" s="1"/>
      <c r="G489" t="s">
        <v>560</v>
      </c>
      <c r="H489">
        <v>2025</v>
      </c>
      <c r="I489">
        <v>11</v>
      </c>
      <c r="J489">
        <v>4</v>
      </c>
      <c r="K489">
        <v>3</v>
      </c>
      <c r="L489" cm="1">
        <f t="array" ref="L48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0" spans="1:12" hidden="1" x14ac:dyDescent="0.3">
      <c r="A490" t="s">
        <v>1050</v>
      </c>
      <c r="B490" t="s">
        <v>397</v>
      </c>
      <c r="C490" t="s">
        <v>22</v>
      </c>
      <c r="D490">
        <v>72</v>
      </c>
      <c r="E490" s="1">
        <v>45979</v>
      </c>
      <c r="F490" s="1"/>
      <c r="G490" t="s">
        <v>574</v>
      </c>
      <c r="H490">
        <v>2025</v>
      </c>
      <c r="I490">
        <v>11</v>
      </c>
      <c r="J490">
        <v>4</v>
      </c>
      <c r="K490">
        <v>3</v>
      </c>
      <c r="L490" cm="1">
        <f t="array" ref="L49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1" spans="1:12" hidden="1" x14ac:dyDescent="0.3">
      <c r="A491" t="s">
        <v>1051</v>
      </c>
      <c r="B491" t="s">
        <v>255</v>
      </c>
      <c r="C491" t="s">
        <v>10</v>
      </c>
      <c r="D491">
        <v>52</v>
      </c>
      <c r="E491" s="1">
        <v>45980</v>
      </c>
      <c r="F491" s="1"/>
      <c r="G491" t="s">
        <v>560</v>
      </c>
      <c r="H491">
        <v>2025</v>
      </c>
      <c r="I491">
        <v>11</v>
      </c>
      <c r="J491">
        <v>4</v>
      </c>
      <c r="K491">
        <v>3</v>
      </c>
      <c r="L491" cm="1">
        <f t="array" ref="L49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2" spans="1:12" x14ac:dyDescent="0.3">
      <c r="A492" t="s">
        <v>1052</v>
      </c>
      <c r="B492" t="s">
        <v>169</v>
      </c>
      <c r="C492" t="s">
        <v>19</v>
      </c>
      <c r="D492">
        <v>38</v>
      </c>
      <c r="E492" s="1">
        <v>45982</v>
      </c>
      <c r="F492" s="1">
        <v>45985</v>
      </c>
      <c r="G492" t="s">
        <v>563</v>
      </c>
      <c r="H492">
        <v>2025</v>
      </c>
      <c r="I492">
        <v>11</v>
      </c>
      <c r="J492">
        <v>4</v>
      </c>
      <c r="K492">
        <v>3</v>
      </c>
      <c r="L492" cm="1">
        <f t="array" ref="L49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3" spans="1:12" hidden="1" x14ac:dyDescent="0.3">
      <c r="A493" t="s">
        <v>1053</v>
      </c>
      <c r="B493" t="s">
        <v>236</v>
      </c>
      <c r="C493" t="s">
        <v>29</v>
      </c>
      <c r="D493">
        <v>43</v>
      </c>
      <c r="E493" s="1">
        <v>45982</v>
      </c>
      <c r="F493" s="1"/>
      <c r="G493" t="s">
        <v>574</v>
      </c>
      <c r="H493">
        <v>2025</v>
      </c>
      <c r="I493">
        <v>11</v>
      </c>
      <c r="J493">
        <v>4</v>
      </c>
      <c r="K493">
        <v>4</v>
      </c>
      <c r="L493" cm="1">
        <f t="array" ref="L49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4" spans="1:12" hidden="1" x14ac:dyDescent="0.3">
      <c r="A494" t="s">
        <v>1054</v>
      </c>
      <c r="B494" t="s">
        <v>144</v>
      </c>
      <c r="C494" t="s">
        <v>16</v>
      </c>
      <c r="D494">
        <v>93</v>
      </c>
      <c r="E494" s="1">
        <v>45983</v>
      </c>
      <c r="F494" s="1"/>
      <c r="G494" t="s">
        <v>574</v>
      </c>
      <c r="H494">
        <v>2025</v>
      </c>
      <c r="I494">
        <v>11</v>
      </c>
      <c r="J494">
        <v>4</v>
      </c>
      <c r="K494">
        <v>4</v>
      </c>
      <c r="L494" cm="1">
        <f t="array" ref="L49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5" spans="1:12" hidden="1" x14ac:dyDescent="0.3">
      <c r="A495" t="s">
        <v>1055</v>
      </c>
      <c r="B495" t="s">
        <v>307</v>
      </c>
      <c r="C495" t="s">
        <v>19</v>
      </c>
      <c r="D495">
        <v>41</v>
      </c>
      <c r="E495" s="1">
        <v>45986</v>
      </c>
      <c r="F495" s="1"/>
      <c r="G495" t="s">
        <v>560</v>
      </c>
      <c r="H495">
        <v>2025</v>
      </c>
      <c r="I495">
        <v>11</v>
      </c>
      <c r="J495">
        <v>4</v>
      </c>
      <c r="K495">
        <v>4</v>
      </c>
      <c r="L495" cm="1">
        <f t="array" ref="L49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6" spans="1:12" x14ac:dyDescent="0.3">
      <c r="A496" t="s">
        <v>1056</v>
      </c>
      <c r="B496" t="s">
        <v>7</v>
      </c>
      <c r="C496" t="s">
        <v>19</v>
      </c>
      <c r="D496">
        <v>61</v>
      </c>
      <c r="E496" s="1">
        <v>45986</v>
      </c>
      <c r="F496" s="1">
        <v>45990</v>
      </c>
      <c r="G496" t="s">
        <v>563</v>
      </c>
      <c r="H496">
        <v>2025</v>
      </c>
      <c r="I496">
        <v>11</v>
      </c>
      <c r="J496">
        <v>4</v>
      </c>
      <c r="K496">
        <v>4</v>
      </c>
      <c r="L496" cm="1">
        <f t="array" ref="L49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7" spans="1:12" x14ac:dyDescent="0.3">
      <c r="A497" t="s">
        <v>1057</v>
      </c>
      <c r="B497" t="s">
        <v>422</v>
      </c>
      <c r="C497" t="s">
        <v>10</v>
      </c>
      <c r="D497">
        <v>73</v>
      </c>
      <c r="E497" s="1">
        <v>45987</v>
      </c>
      <c r="F497" s="1">
        <v>45992</v>
      </c>
      <c r="G497" t="s">
        <v>563</v>
      </c>
      <c r="H497">
        <v>2025</v>
      </c>
      <c r="I497">
        <v>11</v>
      </c>
      <c r="J497">
        <v>4</v>
      </c>
      <c r="K497">
        <v>4</v>
      </c>
      <c r="L497" cm="1">
        <f t="array" ref="L49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8" spans="1:12" x14ac:dyDescent="0.3">
      <c r="A498" t="s">
        <v>1058</v>
      </c>
      <c r="B498" t="s">
        <v>210</v>
      </c>
      <c r="C498" t="s">
        <v>19</v>
      </c>
      <c r="D498">
        <v>89</v>
      </c>
      <c r="E498" s="1">
        <v>45987</v>
      </c>
      <c r="F498" s="1">
        <v>45990</v>
      </c>
      <c r="G498" t="s">
        <v>563</v>
      </c>
      <c r="H498">
        <v>2025</v>
      </c>
      <c r="I498">
        <v>11</v>
      </c>
      <c r="J498">
        <v>4</v>
      </c>
      <c r="K498">
        <v>4</v>
      </c>
      <c r="L498" cm="1">
        <f t="array" ref="L49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9" spans="1:12" x14ac:dyDescent="0.3">
      <c r="A499" t="s">
        <v>1059</v>
      </c>
      <c r="B499" t="s">
        <v>424</v>
      </c>
      <c r="C499" t="s">
        <v>22</v>
      </c>
      <c r="D499">
        <v>26</v>
      </c>
      <c r="E499" s="1">
        <v>45988</v>
      </c>
      <c r="F499" s="1">
        <v>45999</v>
      </c>
      <c r="G499" t="s">
        <v>563</v>
      </c>
      <c r="H499">
        <v>2025</v>
      </c>
      <c r="I499">
        <v>11</v>
      </c>
      <c r="J499">
        <v>4</v>
      </c>
      <c r="K499">
        <v>4</v>
      </c>
      <c r="L499" cm="1">
        <f t="array" ref="L49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500" spans="1:12" x14ac:dyDescent="0.3">
      <c r="A500" t="s">
        <v>1060</v>
      </c>
      <c r="B500" t="s">
        <v>229</v>
      </c>
      <c r="C500" t="s">
        <v>10</v>
      </c>
      <c r="D500">
        <v>33</v>
      </c>
      <c r="E500" s="1">
        <v>45988</v>
      </c>
      <c r="F500" s="1">
        <v>45992</v>
      </c>
      <c r="G500" t="s">
        <v>563</v>
      </c>
      <c r="H500">
        <v>2025</v>
      </c>
      <c r="I500">
        <v>11</v>
      </c>
      <c r="J500">
        <v>4</v>
      </c>
      <c r="K500">
        <v>4</v>
      </c>
      <c r="L500" cm="1">
        <f t="array" ref="L50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501" spans="1:12" hidden="1" x14ac:dyDescent="0.3">
      <c r="A501" t="s">
        <v>1061</v>
      </c>
      <c r="B501" t="s">
        <v>256</v>
      </c>
      <c r="C501" t="s">
        <v>10</v>
      </c>
      <c r="D501">
        <v>63</v>
      </c>
      <c r="E501" s="1">
        <v>45989</v>
      </c>
      <c r="F501" s="1"/>
      <c r="G501" t="s">
        <v>560</v>
      </c>
      <c r="H501">
        <v>2025</v>
      </c>
      <c r="I501">
        <v>11</v>
      </c>
      <c r="J501">
        <v>4</v>
      </c>
      <c r="K501">
        <v>5</v>
      </c>
      <c r="L501" cm="1">
        <f t="array" ref="L50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62462-B16D-4D30-8131-451FBD6F59FB}">
  <dimension ref="A1:G26"/>
  <sheetViews>
    <sheetView workbookViewId="0">
      <selection activeCell="F20" sqref="F20"/>
    </sheetView>
  </sheetViews>
  <sheetFormatPr defaultRowHeight="14.4" x14ac:dyDescent="0.3"/>
  <cols>
    <col min="1" max="1" width="9.21875" customWidth="1"/>
    <col min="2" max="2" width="12.44140625" customWidth="1"/>
    <col min="3" max="3" width="10.21875" customWidth="1"/>
    <col min="5" max="5" width="14" customWidth="1"/>
    <col min="6" max="6" width="12.109375" customWidth="1"/>
  </cols>
  <sheetData>
    <row r="1" spans="1:7" x14ac:dyDescent="0.3">
      <c r="A1" t="s">
        <v>0</v>
      </c>
      <c r="B1" t="s">
        <v>1</v>
      </c>
      <c r="C1" t="s">
        <v>2</v>
      </c>
      <c r="D1" t="s">
        <v>3</v>
      </c>
      <c r="E1" t="s">
        <v>4</v>
      </c>
      <c r="F1" t="s">
        <v>5</v>
      </c>
      <c r="G1" t="s">
        <v>6</v>
      </c>
    </row>
    <row r="2" spans="1:7" x14ac:dyDescent="0.3">
      <c r="A2" t="s">
        <v>489</v>
      </c>
      <c r="B2" t="s">
        <v>21</v>
      </c>
      <c r="C2" t="s">
        <v>26</v>
      </c>
      <c r="D2">
        <v>55</v>
      </c>
      <c r="E2">
        <v>8</v>
      </c>
      <c r="F2" t="s">
        <v>16</v>
      </c>
      <c r="G2">
        <v>2500</v>
      </c>
    </row>
    <row r="3" spans="1:7" x14ac:dyDescent="0.3">
      <c r="A3" t="s">
        <v>484</v>
      </c>
      <c r="B3" t="s">
        <v>58</v>
      </c>
      <c r="C3" t="s">
        <v>26</v>
      </c>
      <c r="D3">
        <v>27</v>
      </c>
      <c r="E3">
        <v>15</v>
      </c>
      <c r="F3" t="s">
        <v>16</v>
      </c>
      <c r="G3">
        <v>1000</v>
      </c>
    </row>
    <row r="4" spans="1:7" x14ac:dyDescent="0.3">
      <c r="A4" t="s">
        <v>462</v>
      </c>
      <c r="B4" t="s">
        <v>18</v>
      </c>
      <c r="C4" t="s">
        <v>26</v>
      </c>
      <c r="D4">
        <v>49</v>
      </c>
      <c r="E4">
        <v>13</v>
      </c>
      <c r="F4" t="s">
        <v>16</v>
      </c>
      <c r="G4">
        <v>11500</v>
      </c>
    </row>
    <row r="5" spans="1:7" x14ac:dyDescent="0.3">
      <c r="A5" t="s">
        <v>442</v>
      </c>
      <c r="B5" t="s">
        <v>48</v>
      </c>
      <c r="C5" t="s">
        <v>26</v>
      </c>
      <c r="D5">
        <v>31</v>
      </c>
      <c r="E5">
        <v>15</v>
      </c>
      <c r="F5" t="s">
        <v>16</v>
      </c>
      <c r="G5">
        <v>10000</v>
      </c>
    </row>
    <row r="6" spans="1:7" x14ac:dyDescent="0.3">
      <c r="A6" t="s">
        <v>433</v>
      </c>
      <c r="B6" t="s">
        <v>58</v>
      </c>
      <c r="C6" t="s">
        <v>26</v>
      </c>
      <c r="D6">
        <v>57</v>
      </c>
      <c r="E6">
        <v>16</v>
      </c>
      <c r="F6" t="s">
        <v>16</v>
      </c>
      <c r="G6">
        <v>1000</v>
      </c>
    </row>
    <row r="7" spans="1:7" x14ac:dyDescent="0.3">
      <c r="A7" t="s">
        <v>408</v>
      </c>
      <c r="B7" t="s">
        <v>25</v>
      </c>
      <c r="C7" t="s">
        <v>26</v>
      </c>
      <c r="D7">
        <v>33</v>
      </c>
      <c r="E7">
        <v>19</v>
      </c>
      <c r="F7" t="s">
        <v>16</v>
      </c>
      <c r="G7">
        <v>18000</v>
      </c>
    </row>
    <row r="8" spans="1:7" x14ac:dyDescent="0.3">
      <c r="A8" t="s">
        <v>405</v>
      </c>
      <c r="B8" t="s">
        <v>53</v>
      </c>
      <c r="C8" t="s">
        <v>26</v>
      </c>
      <c r="D8">
        <v>12</v>
      </c>
      <c r="E8">
        <v>33</v>
      </c>
      <c r="F8" t="s">
        <v>16</v>
      </c>
      <c r="G8">
        <v>4500</v>
      </c>
    </row>
    <row r="9" spans="1:7" x14ac:dyDescent="0.3">
      <c r="A9" t="s">
        <v>401</v>
      </c>
      <c r="B9" t="s">
        <v>58</v>
      </c>
      <c r="C9" t="s">
        <v>26</v>
      </c>
      <c r="D9">
        <v>12</v>
      </c>
      <c r="E9">
        <v>23</v>
      </c>
      <c r="F9" t="s">
        <v>16</v>
      </c>
      <c r="G9">
        <v>1000</v>
      </c>
    </row>
    <row r="10" spans="1:7" x14ac:dyDescent="0.3">
      <c r="A10" t="s">
        <v>382</v>
      </c>
      <c r="B10" t="s">
        <v>18</v>
      </c>
      <c r="C10" t="s">
        <v>26</v>
      </c>
      <c r="D10">
        <v>49</v>
      </c>
      <c r="E10">
        <v>18</v>
      </c>
      <c r="F10" t="s">
        <v>16</v>
      </c>
      <c r="G10">
        <v>11500</v>
      </c>
    </row>
    <row r="11" spans="1:7" x14ac:dyDescent="0.3">
      <c r="A11" t="s">
        <v>374</v>
      </c>
      <c r="B11" t="s">
        <v>40</v>
      </c>
      <c r="C11" t="s">
        <v>26</v>
      </c>
      <c r="D11">
        <v>34</v>
      </c>
      <c r="E11">
        <v>21</v>
      </c>
      <c r="F11" t="s">
        <v>16</v>
      </c>
      <c r="G11">
        <v>17500</v>
      </c>
    </row>
    <row r="12" spans="1:7" x14ac:dyDescent="0.3">
      <c r="A12" t="s">
        <v>364</v>
      </c>
      <c r="B12" t="s">
        <v>8</v>
      </c>
      <c r="C12" t="s">
        <v>26</v>
      </c>
      <c r="D12">
        <v>98</v>
      </c>
      <c r="E12">
        <v>22</v>
      </c>
      <c r="F12" t="s">
        <v>16</v>
      </c>
      <c r="G12">
        <v>1800</v>
      </c>
    </row>
    <row r="13" spans="1:7" x14ac:dyDescent="0.3">
      <c r="A13" t="s">
        <v>35</v>
      </c>
      <c r="B13" t="s">
        <v>18</v>
      </c>
      <c r="C13" t="s">
        <v>26</v>
      </c>
      <c r="D13">
        <v>50</v>
      </c>
      <c r="E13">
        <v>16</v>
      </c>
      <c r="F13" t="s">
        <v>16</v>
      </c>
      <c r="G13">
        <v>11500</v>
      </c>
    </row>
    <row r="14" spans="1:7" x14ac:dyDescent="0.3">
      <c r="A14" t="s">
        <v>357</v>
      </c>
      <c r="B14" t="s">
        <v>45</v>
      </c>
      <c r="C14" t="s">
        <v>26</v>
      </c>
      <c r="D14">
        <v>71</v>
      </c>
      <c r="E14">
        <v>22</v>
      </c>
      <c r="F14" t="s">
        <v>16</v>
      </c>
      <c r="G14">
        <v>12000</v>
      </c>
    </row>
    <row r="15" spans="1:7" x14ac:dyDescent="0.3">
      <c r="A15" t="s">
        <v>330</v>
      </c>
      <c r="B15" t="s">
        <v>25</v>
      </c>
      <c r="C15" t="s">
        <v>26</v>
      </c>
      <c r="D15">
        <v>33</v>
      </c>
      <c r="E15">
        <v>13</v>
      </c>
      <c r="F15" t="s">
        <v>16</v>
      </c>
      <c r="G15">
        <v>18000</v>
      </c>
    </row>
    <row r="16" spans="1:7" x14ac:dyDescent="0.3">
      <c r="A16" t="s">
        <v>292</v>
      </c>
      <c r="B16" t="s">
        <v>48</v>
      </c>
      <c r="C16" t="s">
        <v>26</v>
      </c>
      <c r="D16">
        <v>31</v>
      </c>
      <c r="E16">
        <v>21</v>
      </c>
      <c r="F16" t="s">
        <v>16</v>
      </c>
      <c r="G16">
        <v>10000</v>
      </c>
    </row>
    <row r="17" spans="1:7" x14ac:dyDescent="0.3">
      <c r="A17" t="s">
        <v>250</v>
      </c>
      <c r="B17" t="s">
        <v>25</v>
      </c>
      <c r="C17" t="s">
        <v>26</v>
      </c>
      <c r="D17">
        <v>37</v>
      </c>
      <c r="E17">
        <v>32</v>
      </c>
      <c r="F17" t="s">
        <v>16</v>
      </c>
      <c r="G17">
        <v>18000</v>
      </c>
    </row>
    <row r="18" spans="1:7" x14ac:dyDescent="0.3">
      <c r="A18" t="s">
        <v>245</v>
      </c>
      <c r="B18" t="s">
        <v>8</v>
      </c>
      <c r="C18" t="s">
        <v>26</v>
      </c>
      <c r="D18">
        <v>35</v>
      </c>
      <c r="E18">
        <v>25</v>
      </c>
      <c r="F18" t="s">
        <v>16</v>
      </c>
      <c r="G18">
        <v>1800</v>
      </c>
    </row>
    <row r="19" spans="1:7" x14ac:dyDescent="0.3">
      <c r="A19" t="s">
        <v>233</v>
      </c>
      <c r="B19" t="s">
        <v>61</v>
      </c>
      <c r="C19" t="s">
        <v>26</v>
      </c>
      <c r="D19">
        <v>14</v>
      </c>
      <c r="E19">
        <v>13</v>
      </c>
      <c r="F19" t="s">
        <v>16</v>
      </c>
      <c r="G19">
        <v>1200</v>
      </c>
    </row>
    <row r="20" spans="1:7" x14ac:dyDescent="0.3">
      <c r="A20" t="s">
        <v>196</v>
      </c>
      <c r="B20" t="s">
        <v>40</v>
      </c>
      <c r="C20" t="s">
        <v>26</v>
      </c>
      <c r="D20">
        <v>103</v>
      </c>
      <c r="E20">
        <v>11</v>
      </c>
      <c r="F20" t="s">
        <v>16</v>
      </c>
      <c r="G20">
        <v>17500</v>
      </c>
    </row>
    <row r="21" spans="1:7" x14ac:dyDescent="0.3">
      <c r="A21" t="s">
        <v>147</v>
      </c>
      <c r="B21" t="s">
        <v>12</v>
      </c>
      <c r="C21" t="s">
        <v>26</v>
      </c>
      <c r="D21">
        <v>30</v>
      </c>
      <c r="E21">
        <v>17</v>
      </c>
      <c r="F21" t="s">
        <v>16</v>
      </c>
      <c r="G21">
        <v>2000</v>
      </c>
    </row>
    <row r="22" spans="1:7" x14ac:dyDescent="0.3">
      <c r="A22" t="s">
        <v>144</v>
      </c>
      <c r="B22" t="s">
        <v>43</v>
      </c>
      <c r="C22" t="s">
        <v>26</v>
      </c>
      <c r="D22">
        <v>45</v>
      </c>
      <c r="E22">
        <v>34</v>
      </c>
      <c r="F22" t="s">
        <v>16</v>
      </c>
      <c r="G22">
        <v>2000</v>
      </c>
    </row>
    <row r="23" spans="1:7" x14ac:dyDescent="0.3">
      <c r="A23" t="s">
        <v>131</v>
      </c>
      <c r="B23" t="s">
        <v>31</v>
      </c>
      <c r="C23" t="s">
        <v>26</v>
      </c>
      <c r="D23">
        <v>16</v>
      </c>
      <c r="E23">
        <v>12</v>
      </c>
      <c r="F23" t="s">
        <v>16</v>
      </c>
      <c r="G23">
        <v>3000</v>
      </c>
    </row>
    <row r="24" spans="1:7" x14ac:dyDescent="0.3">
      <c r="A24" t="s">
        <v>51</v>
      </c>
      <c r="B24" t="s">
        <v>31</v>
      </c>
      <c r="C24" t="s">
        <v>26</v>
      </c>
      <c r="D24">
        <v>36</v>
      </c>
      <c r="E24">
        <v>28</v>
      </c>
      <c r="F24" t="s">
        <v>16</v>
      </c>
      <c r="G24">
        <v>3000</v>
      </c>
    </row>
    <row r="25" spans="1:7" x14ac:dyDescent="0.3">
      <c r="A25" t="s">
        <v>130</v>
      </c>
      <c r="B25" t="s">
        <v>45</v>
      </c>
      <c r="C25" t="s">
        <v>26</v>
      </c>
      <c r="D25">
        <v>90</v>
      </c>
      <c r="E25">
        <v>21</v>
      </c>
      <c r="F25" t="s">
        <v>16</v>
      </c>
      <c r="G25">
        <v>12000</v>
      </c>
    </row>
    <row r="26" spans="1:7" x14ac:dyDescent="0.3">
      <c r="A26" t="s">
        <v>104</v>
      </c>
      <c r="B26" t="s">
        <v>71</v>
      </c>
      <c r="C26" t="s">
        <v>26</v>
      </c>
      <c r="D26">
        <v>48</v>
      </c>
      <c r="E26">
        <v>18</v>
      </c>
      <c r="F26" t="s">
        <v>16</v>
      </c>
      <c r="G26">
        <v>9000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0834-D6A8-4C8C-A755-7F5EB76DC21D}">
  <dimension ref="A1:G135"/>
  <sheetViews>
    <sheetView topLeftCell="A58" workbookViewId="0">
      <selection sqref="A1:G135"/>
    </sheetView>
  </sheetViews>
  <sheetFormatPr defaultRowHeight="14.4" x14ac:dyDescent="0.3"/>
  <cols>
    <col min="1" max="1" width="9.21875" customWidth="1"/>
    <col min="2" max="2" width="12.44140625" customWidth="1"/>
    <col min="3" max="3" width="10.21875" customWidth="1"/>
    <col min="5" max="5" width="14" customWidth="1"/>
    <col min="6" max="6" width="12.109375" customWidth="1"/>
  </cols>
  <sheetData>
    <row r="1" spans="1:7" x14ac:dyDescent="0.3">
      <c r="A1" t="s">
        <v>0</v>
      </c>
      <c r="B1" t="s">
        <v>1</v>
      </c>
      <c r="C1" t="s">
        <v>2</v>
      </c>
      <c r="D1" t="s">
        <v>3</v>
      </c>
      <c r="E1" t="s">
        <v>4</v>
      </c>
      <c r="F1" t="s">
        <v>5</v>
      </c>
      <c r="G1" t="s">
        <v>6</v>
      </c>
    </row>
    <row r="2" spans="1:7" x14ac:dyDescent="0.3">
      <c r="A2" t="s">
        <v>517</v>
      </c>
      <c r="B2" t="s">
        <v>63</v>
      </c>
      <c r="C2" t="s">
        <v>26</v>
      </c>
      <c r="D2">
        <v>47</v>
      </c>
      <c r="E2">
        <v>29</v>
      </c>
      <c r="F2" t="s">
        <v>19</v>
      </c>
      <c r="G2">
        <v>800</v>
      </c>
    </row>
    <row r="3" spans="1:7" x14ac:dyDescent="0.3">
      <c r="A3" t="s">
        <v>24</v>
      </c>
      <c r="B3" t="s">
        <v>25</v>
      </c>
      <c r="C3" t="s">
        <v>26</v>
      </c>
      <c r="D3">
        <v>82</v>
      </c>
      <c r="E3">
        <v>14</v>
      </c>
      <c r="F3" t="s">
        <v>19</v>
      </c>
      <c r="G3">
        <v>18000</v>
      </c>
    </row>
    <row r="4" spans="1:7" x14ac:dyDescent="0.3">
      <c r="A4" t="s">
        <v>502</v>
      </c>
      <c r="B4" t="s">
        <v>58</v>
      </c>
      <c r="C4" t="s">
        <v>26</v>
      </c>
      <c r="D4">
        <v>26</v>
      </c>
      <c r="E4">
        <v>24</v>
      </c>
      <c r="F4" t="s">
        <v>19</v>
      </c>
      <c r="G4">
        <v>1000</v>
      </c>
    </row>
    <row r="5" spans="1:7" x14ac:dyDescent="0.3">
      <c r="A5" t="s">
        <v>451</v>
      </c>
      <c r="B5" t="s">
        <v>61</v>
      </c>
      <c r="C5" t="s">
        <v>26</v>
      </c>
      <c r="D5">
        <v>10</v>
      </c>
      <c r="E5">
        <v>7</v>
      </c>
      <c r="F5" t="s">
        <v>19</v>
      </c>
      <c r="G5">
        <v>1200</v>
      </c>
    </row>
    <row r="6" spans="1:7" x14ac:dyDescent="0.3">
      <c r="A6" t="s">
        <v>66</v>
      </c>
      <c r="B6" t="s">
        <v>21</v>
      </c>
      <c r="C6" t="s">
        <v>26</v>
      </c>
      <c r="D6">
        <v>99</v>
      </c>
      <c r="E6">
        <v>9</v>
      </c>
      <c r="F6" t="s">
        <v>19</v>
      </c>
      <c r="G6">
        <v>2500</v>
      </c>
    </row>
    <row r="7" spans="1:7" x14ac:dyDescent="0.3">
      <c r="A7" t="s">
        <v>418</v>
      </c>
      <c r="B7" t="s">
        <v>43</v>
      </c>
      <c r="C7" t="s">
        <v>26</v>
      </c>
      <c r="D7">
        <v>49</v>
      </c>
      <c r="E7">
        <v>14</v>
      </c>
      <c r="F7" t="s">
        <v>19</v>
      </c>
      <c r="G7">
        <v>2000</v>
      </c>
    </row>
    <row r="8" spans="1:7" x14ac:dyDescent="0.3">
      <c r="A8" t="s">
        <v>392</v>
      </c>
      <c r="B8" t="s">
        <v>53</v>
      </c>
      <c r="C8" t="s">
        <v>26</v>
      </c>
      <c r="D8">
        <v>34</v>
      </c>
      <c r="E8">
        <v>12</v>
      </c>
      <c r="F8" t="s">
        <v>19</v>
      </c>
      <c r="G8">
        <v>4500</v>
      </c>
    </row>
    <row r="9" spans="1:7" x14ac:dyDescent="0.3">
      <c r="A9" t="s">
        <v>379</v>
      </c>
      <c r="B9" t="s">
        <v>28</v>
      </c>
      <c r="C9" t="s">
        <v>26</v>
      </c>
      <c r="D9">
        <v>19</v>
      </c>
      <c r="E9">
        <v>32</v>
      </c>
      <c r="F9" t="s">
        <v>19</v>
      </c>
      <c r="G9">
        <v>3500</v>
      </c>
    </row>
    <row r="10" spans="1:7" x14ac:dyDescent="0.3">
      <c r="A10" t="s">
        <v>377</v>
      </c>
      <c r="B10" t="s">
        <v>40</v>
      </c>
      <c r="C10" t="s">
        <v>26</v>
      </c>
      <c r="D10">
        <v>65</v>
      </c>
      <c r="E10">
        <v>22</v>
      </c>
      <c r="F10" t="s">
        <v>19</v>
      </c>
      <c r="G10">
        <v>17500</v>
      </c>
    </row>
    <row r="11" spans="1:7" x14ac:dyDescent="0.3">
      <c r="A11" t="s">
        <v>362</v>
      </c>
      <c r="B11" t="s">
        <v>45</v>
      </c>
      <c r="C11" t="s">
        <v>26</v>
      </c>
      <c r="D11">
        <v>74</v>
      </c>
      <c r="E11">
        <v>29</v>
      </c>
      <c r="F11" t="s">
        <v>19</v>
      </c>
      <c r="G11">
        <v>12000</v>
      </c>
    </row>
    <row r="12" spans="1:7" x14ac:dyDescent="0.3">
      <c r="A12" t="s">
        <v>343</v>
      </c>
      <c r="B12" t="s">
        <v>38</v>
      </c>
      <c r="C12" t="s">
        <v>26</v>
      </c>
      <c r="D12">
        <v>50</v>
      </c>
      <c r="E12">
        <v>11</v>
      </c>
      <c r="F12" t="s">
        <v>19</v>
      </c>
      <c r="G12">
        <v>1500</v>
      </c>
    </row>
    <row r="13" spans="1:7" x14ac:dyDescent="0.3">
      <c r="A13" t="s">
        <v>328</v>
      </c>
      <c r="B13" t="s">
        <v>58</v>
      </c>
      <c r="C13" t="s">
        <v>26</v>
      </c>
      <c r="D13">
        <v>58</v>
      </c>
      <c r="E13">
        <v>28</v>
      </c>
      <c r="F13" t="s">
        <v>19</v>
      </c>
      <c r="G13">
        <v>1000</v>
      </c>
    </row>
    <row r="14" spans="1:7" x14ac:dyDescent="0.3">
      <c r="A14" t="s">
        <v>310</v>
      </c>
      <c r="B14" t="s">
        <v>18</v>
      </c>
      <c r="C14" t="s">
        <v>26</v>
      </c>
      <c r="D14">
        <v>11</v>
      </c>
      <c r="E14">
        <v>33</v>
      </c>
      <c r="F14" t="s">
        <v>19</v>
      </c>
      <c r="G14">
        <v>11500</v>
      </c>
    </row>
    <row r="15" spans="1:7" x14ac:dyDescent="0.3">
      <c r="A15" t="s">
        <v>305</v>
      </c>
      <c r="B15" t="s">
        <v>71</v>
      </c>
      <c r="C15" t="s">
        <v>26</v>
      </c>
      <c r="D15">
        <v>108</v>
      </c>
      <c r="E15">
        <v>32</v>
      </c>
      <c r="F15" t="s">
        <v>19</v>
      </c>
      <c r="G15">
        <v>9000</v>
      </c>
    </row>
    <row r="16" spans="1:7" x14ac:dyDescent="0.3">
      <c r="A16" t="s">
        <v>304</v>
      </c>
      <c r="B16" t="s">
        <v>40</v>
      </c>
      <c r="C16" t="s">
        <v>26</v>
      </c>
      <c r="D16">
        <v>15</v>
      </c>
      <c r="E16">
        <v>21</v>
      </c>
      <c r="F16" t="s">
        <v>19</v>
      </c>
      <c r="G16">
        <v>17500</v>
      </c>
    </row>
    <row r="17" spans="1:7" x14ac:dyDescent="0.3">
      <c r="A17" t="s">
        <v>303</v>
      </c>
      <c r="B17" t="s">
        <v>65</v>
      </c>
      <c r="C17" t="s">
        <v>26</v>
      </c>
      <c r="D17">
        <v>23</v>
      </c>
      <c r="E17">
        <v>32</v>
      </c>
      <c r="F17" t="s">
        <v>19</v>
      </c>
      <c r="G17">
        <v>5500</v>
      </c>
    </row>
    <row r="18" spans="1:7" x14ac:dyDescent="0.3">
      <c r="A18" t="s">
        <v>121</v>
      </c>
      <c r="B18" t="s">
        <v>21</v>
      </c>
      <c r="C18" t="s">
        <v>26</v>
      </c>
      <c r="D18">
        <v>28</v>
      </c>
      <c r="E18">
        <v>12</v>
      </c>
      <c r="F18" t="s">
        <v>19</v>
      </c>
      <c r="G18">
        <v>2500</v>
      </c>
    </row>
    <row r="19" spans="1:7" x14ac:dyDescent="0.3">
      <c r="A19" t="s">
        <v>272</v>
      </c>
      <c r="B19" t="s">
        <v>14</v>
      </c>
      <c r="C19" t="s">
        <v>26</v>
      </c>
      <c r="D19">
        <v>105</v>
      </c>
      <c r="E19">
        <v>9</v>
      </c>
      <c r="F19" t="s">
        <v>19</v>
      </c>
      <c r="G19">
        <v>1500</v>
      </c>
    </row>
    <row r="20" spans="1:7" x14ac:dyDescent="0.3">
      <c r="A20" t="s">
        <v>270</v>
      </c>
      <c r="B20" t="s">
        <v>18</v>
      </c>
      <c r="C20" t="s">
        <v>26</v>
      </c>
      <c r="D20">
        <v>40</v>
      </c>
      <c r="E20">
        <v>18</v>
      </c>
      <c r="F20" t="s">
        <v>19</v>
      </c>
      <c r="G20">
        <v>11500</v>
      </c>
    </row>
    <row r="21" spans="1:7" x14ac:dyDescent="0.3">
      <c r="A21" t="s">
        <v>127</v>
      </c>
      <c r="B21" t="s">
        <v>14</v>
      </c>
      <c r="C21" t="s">
        <v>26</v>
      </c>
      <c r="D21">
        <v>106</v>
      </c>
      <c r="E21">
        <v>18</v>
      </c>
      <c r="F21" t="s">
        <v>19</v>
      </c>
      <c r="G21">
        <v>1500</v>
      </c>
    </row>
    <row r="22" spans="1:7" x14ac:dyDescent="0.3">
      <c r="A22" t="s">
        <v>128</v>
      </c>
      <c r="B22" t="s">
        <v>61</v>
      </c>
      <c r="C22" t="s">
        <v>26</v>
      </c>
      <c r="D22">
        <v>70</v>
      </c>
      <c r="E22">
        <v>5</v>
      </c>
      <c r="F22" t="s">
        <v>19</v>
      </c>
      <c r="G22">
        <v>1200</v>
      </c>
    </row>
    <row r="23" spans="1:7" x14ac:dyDescent="0.3">
      <c r="A23" t="s">
        <v>264</v>
      </c>
      <c r="B23" t="s">
        <v>53</v>
      </c>
      <c r="C23" t="s">
        <v>26</v>
      </c>
      <c r="D23">
        <v>38</v>
      </c>
      <c r="E23">
        <v>20</v>
      </c>
      <c r="F23" t="s">
        <v>19</v>
      </c>
      <c r="G23">
        <v>4500</v>
      </c>
    </row>
    <row r="24" spans="1:7" x14ac:dyDescent="0.3">
      <c r="A24" t="s">
        <v>132</v>
      </c>
      <c r="B24" t="s">
        <v>71</v>
      </c>
      <c r="C24" t="s">
        <v>26</v>
      </c>
      <c r="D24">
        <v>14</v>
      </c>
      <c r="E24">
        <v>14</v>
      </c>
      <c r="F24" t="s">
        <v>19</v>
      </c>
      <c r="G24">
        <v>9000</v>
      </c>
    </row>
    <row r="25" spans="1:7" x14ac:dyDescent="0.3">
      <c r="A25" t="s">
        <v>139</v>
      </c>
      <c r="B25" t="s">
        <v>65</v>
      </c>
      <c r="C25" t="s">
        <v>26</v>
      </c>
      <c r="D25">
        <v>77</v>
      </c>
      <c r="E25">
        <v>13</v>
      </c>
      <c r="F25" t="s">
        <v>19</v>
      </c>
      <c r="G25">
        <v>5500</v>
      </c>
    </row>
    <row r="26" spans="1:7" x14ac:dyDescent="0.3">
      <c r="A26" t="s">
        <v>236</v>
      </c>
      <c r="B26" t="s">
        <v>43</v>
      </c>
      <c r="C26" t="s">
        <v>26</v>
      </c>
      <c r="D26">
        <v>28</v>
      </c>
      <c r="E26">
        <v>34</v>
      </c>
      <c r="F26" t="s">
        <v>19</v>
      </c>
      <c r="G26">
        <v>2000</v>
      </c>
    </row>
    <row r="27" spans="1:7" x14ac:dyDescent="0.3">
      <c r="A27" t="s">
        <v>210</v>
      </c>
      <c r="B27" t="s">
        <v>61</v>
      </c>
      <c r="C27" t="s">
        <v>26</v>
      </c>
      <c r="D27">
        <v>78</v>
      </c>
      <c r="E27">
        <v>5</v>
      </c>
      <c r="F27" t="s">
        <v>19</v>
      </c>
      <c r="G27">
        <v>1200</v>
      </c>
    </row>
    <row r="28" spans="1:7" x14ac:dyDescent="0.3">
      <c r="A28" t="s">
        <v>159</v>
      </c>
      <c r="B28" t="s">
        <v>21</v>
      </c>
      <c r="C28" t="s">
        <v>26</v>
      </c>
      <c r="D28">
        <v>31</v>
      </c>
      <c r="E28">
        <v>23</v>
      </c>
      <c r="F28" t="s">
        <v>19</v>
      </c>
      <c r="G28">
        <v>2500</v>
      </c>
    </row>
    <row r="29" spans="1:7" x14ac:dyDescent="0.3">
      <c r="A29" t="s">
        <v>184</v>
      </c>
      <c r="B29" t="s">
        <v>28</v>
      </c>
      <c r="C29" t="s">
        <v>26</v>
      </c>
      <c r="D29">
        <v>61</v>
      </c>
      <c r="E29">
        <v>34</v>
      </c>
      <c r="F29" t="s">
        <v>19</v>
      </c>
      <c r="G29">
        <v>3500</v>
      </c>
    </row>
    <row r="30" spans="1:7" x14ac:dyDescent="0.3">
      <c r="A30" t="s">
        <v>163</v>
      </c>
      <c r="B30" t="s">
        <v>28</v>
      </c>
      <c r="C30" t="s">
        <v>26</v>
      </c>
      <c r="D30">
        <v>104</v>
      </c>
      <c r="E30">
        <v>34</v>
      </c>
      <c r="F30" t="s">
        <v>19</v>
      </c>
      <c r="G30">
        <v>3500</v>
      </c>
    </row>
    <row r="31" spans="1:7" x14ac:dyDescent="0.3">
      <c r="A31" t="s">
        <v>170</v>
      </c>
      <c r="B31" t="s">
        <v>58</v>
      </c>
      <c r="C31" t="s">
        <v>26</v>
      </c>
      <c r="D31">
        <v>38</v>
      </c>
      <c r="E31">
        <v>9</v>
      </c>
      <c r="F31" t="s">
        <v>19</v>
      </c>
      <c r="G31">
        <v>1000</v>
      </c>
    </row>
    <row r="32" spans="1:7" x14ac:dyDescent="0.3">
      <c r="A32" t="s">
        <v>510</v>
      </c>
      <c r="B32" t="s">
        <v>65</v>
      </c>
      <c r="C32" t="s">
        <v>26</v>
      </c>
      <c r="D32">
        <v>88</v>
      </c>
      <c r="E32">
        <v>8</v>
      </c>
      <c r="F32" t="s">
        <v>10</v>
      </c>
      <c r="G32">
        <v>5500</v>
      </c>
    </row>
    <row r="33" spans="1:7" x14ac:dyDescent="0.3">
      <c r="A33" t="s">
        <v>490</v>
      </c>
      <c r="B33" t="s">
        <v>152</v>
      </c>
      <c r="C33" t="s">
        <v>26</v>
      </c>
      <c r="D33">
        <v>95</v>
      </c>
      <c r="E33">
        <v>19</v>
      </c>
      <c r="F33" t="s">
        <v>10</v>
      </c>
      <c r="G33">
        <v>1400</v>
      </c>
    </row>
    <row r="34" spans="1:7" x14ac:dyDescent="0.3">
      <c r="A34" t="s">
        <v>46</v>
      </c>
      <c r="B34" t="s">
        <v>18</v>
      </c>
      <c r="C34" t="s">
        <v>26</v>
      </c>
      <c r="D34">
        <v>106</v>
      </c>
      <c r="E34">
        <v>30</v>
      </c>
      <c r="F34" t="s">
        <v>10</v>
      </c>
      <c r="G34">
        <v>11500</v>
      </c>
    </row>
    <row r="35" spans="1:7" x14ac:dyDescent="0.3">
      <c r="A35" t="s">
        <v>468</v>
      </c>
      <c r="B35" t="s">
        <v>45</v>
      </c>
      <c r="C35" t="s">
        <v>26</v>
      </c>
      <c r="D35">
        <v>89</v>
      </c>
      <c r="E35">
        <v>15</v>
      </c>
      <c r="F35" t="s">
        <v>10</v>
      </c>
      <c r="G35">
        <v>12000</v>
      </c>
    </row>
    <row r="36" spans="1:7" x14ac:dyDescent="0.3">
      <c r="A36" t="s">
        <v>461</v>
      </c>
      <c r="B36" t="s">
        <v>21</v>
      </c>
      <c r="C36" t="s">
        <v>26</v>
      </c>
      <c r="D36">
        <v>40</v>
      </c>
      <c r="E36">
        <v>34</v>
      </c>
      <c r="F36" t="s">
        <v>10</v>
      </c>
      <c r="G36">
        <v>2500</v>
      </c>
    </row>
    <row r="37" spans="1:7" x14ac:dyDescent="0.3">
      <c r="A37" t="s">
        <v>434</v>
      </c>
      <c r="B37" t="s">
        <v>25</v>
      </c>
      <c r="C37" t="s">
        <v>26</v>
      </c>
      <c r="D37">
        <v>28</v>
      </c>
      <c r="E37">
        <v>16</v>
      </c>
      <c r="F37" t="s">
        <v>10</v>
      </c>
      <c r="G37">
        <v>18000</v>
      </c>
    </row>
    <row r="38" spans="1:7" x14ac:dyDescent="0.3">
      <c r="A38" t="s">
        <v>422</v>
      </c>
      <c r="B38" t="s">
        <v>45</v>
      </c>
      <c r="C38" t="s">
        <v>26</v>
      </c>
      <c r="D38">
        <v>69</v>
      </c>
      <c r="E38">
        <v>9</v>
      </c>
      <c r="F38" t="s">
        <v>10</v>
      </c>
      <c r="G38">
        <v>12000</v>
      </c>
    </row>
    <row r="39" spans="1:7" x14ac:dyDescent="0.3">
      <c r="A39" t="s">
        <v>416</v>
      </c>
      <c r="B39" t="s">
        <v>43</v>
      </c>
      <c r="C39" t="s">
        <v>26</v>
      </c>
      <c r="D39">
        <v>42</v>
      </c>
      <c r="E39">
        <v>29</v>
      </c>
      <c r="F39" t="s">
        <v>10</v>
      </c>
      <c r="G39">
        <v>2000</v>
      </c>
    </row>
    <row r="40" spans="1:7" x14ac:dyDescent="0.3">
      <c r="A40" t="s">
        <v>411</v>
      </c>
      <c r="B40" t="s">
        <v>38</v>
      </c>
      <c r="C40" t="s">
        <v>26</v>
      </c>
      <c r="D40">
        <v>24</v>
      </c>
      <c r="E40">
        <v>29</v>
      </c>
      <c r="F40" t="s">
        <v>10</v>
      </c>
      <c r="G40">
        <v>1500</v>
      </c>
    </row>
    <row r="41" spans="1:7" x14ac:dyDescent="0.3">
      <c r="A41" t="s">
        <v>79</v>
      </c>
      <c r="B41" t="s">
        <v>18</v>
      </c>
      <c r="C41" t="s">
        <v>26</v>
      </c>
      <c r="D41">
        <v>12</v>
      </c>
      <c r="E41">
        <v>13</v>
      </c>
      <c r="F41" t="s">
        <v>10</v>
      </c>
      <c r="G41">
        <v>11500</v>
      </c>
    </row>
    <row r="42" spans="1:7" x14ac:dyDescent="0.3">
      <c r="A42" t="s">
        <v>83</v>
      </c>
      <c r="B42" t="s">
        <v>25</v>
      </c>
      <c r="C42" t="s">
        <v>26</v>
      </c>
      <c r="D42">
        <v>70</v>
      </c>
      <c r="E42">
        <v>15</v>
      </c>
      <c r="F42" t="s">
        <v>10</v>
      </c>
      <c r="G42">
        <v>18000</v>
      </c>
    </row>
    <row r="43" spans="1:7" x14ac:dyDescent="0.3">
      <c r="A43" t="s">
        <v>85</v>
      </c>
      <c r="B43" t="s">
        <v>63</v>
      </c>
      <c r="C43" t="s">
        <v>26</v>
      </c>
      <c r="D43">
        <v>41</v>
      </c>
      <c r="E43">
        <v>6</v>
      </c>
      <c r="F43" t="s">
        <v>10</v>
      </c>
      <c r="G43">
        <v>800</v>
      </c>
    </row>
    <row r="44" spans="1:7" x14ac:dyDescent="0.3">
      <c r="A44" t="s">
        <v>97</v>
      </c>
      <c r="B44" t="s">
        <v>53</v>
      </c>
      <c r="C44" t="s">
        <v>26</v>
      </c>
      <c r="D44">
        <v>53</v>
      </c>
      <c r="E44">
        <v>17</v>
      </c>
      <c r="F44" t="s">
        <v>10</v>
      </c>
      <c r="G44">
        <v>4500</v>
      </c>
    </row>
    <row r="45" spans="1:7" x14ac:dyDescent="0.3">
      <c r="A45" t="s">
        <v>98</v>
      </c>
      <c r="B45" t="s">
        <v>45</v>
      </c>
      <c r="C45" t="s">
        <v>26</v>
      </c>
      <c r="D45">
        <v>24</v>
      </c>
      <c r="E45">
        <v>7</v>
      </c>
      <c r="F45" t="s">
        <v>10</v>
      </c>
      <c r="G45">
        <v>12000</v>
      </c>
    </row>
    <row r="46" spans="1:7" x14ac:dyDescent="0.3">
      <c r="A46" t="s">
        <v>336</v>
      </c>
      <c r="B46" t="s">
        <v>53</v>
      </c>
      <c r="C46" t="s">
        <v>26</v>
      </c>
      <c r="D46">
        <v>11</v>
      </c>
      <c r="E46">
        <v>21</v>
      </c>
      <c r="F46" t="s">
        <v>10</v>
      </c>
      <c r="G46">
        <v>4500</v>
      </c>
    </row>
    <row r="47" spans="1:7" x14ac:dyDescent="0.3">
      <c r="A47" t="s">
        <v>309</v>
      </c>
      <c r="B47" t="s">
        <v>21</v>
      </c>
      <c r="C47" t="s">
        <v>26</v>
      </c>
      <c r="D47">
        <v>10</v>
      </c>
      <c r="E47">
        <v>10</v>
      </c>
      <c r="F47" t="s">
        <v>10</v>
      </c>
      <c r="G47">
        <v>2500</v>
      </c>
    </row>
    <row r="48" spans="1:7" x14ac:dyDescent="0.3">
      <c r="A48" t="s">
        <v>112</v>
      </c>
      <c r="B48" t="s">
        <v>65</v>
      </c>
      <c r="C48" t="s">
        <v>26</v>
      </c>
      <c r="D48">
        <v>96</v>
      </c>
      <c r="E48">
        <v>16</v>
      </c>
      <c r="F48" t="s">
        <v>10</v>
      </c>
      <c r="G48">
        <v>5500</v>
      </c>
    </row>
    <row r="49" spans="1:7" x14ac:dyDescent="0.3">
      <c r="A49" t="s">
        <v>120</v>
      </c>
      <c r="B49" t="s">
        <v>53</v>
      </c>
      <c r="C49" t="s">
        <v>26</v>
      </c>
      <c r="D49">
        <v>83</v>
      </c>
      <c r="E49">
        <v>20</v>
      </c>
      <c r="F49" t="s">
        <v>10</v>
      </c>
      <c r="G49">
        <v>4500</v>
      </c>
    </row>
    <row r="50" spans="1:7" x14ac:dyDescent="0.3">
      <c r="A50" t="s">
        <v>276</v>
      </c>
      <c r="B50" t="s">
        <v>18</v>
      </c>
      <c r="C50" t="s">
        <v>26</v>
      </c>
      <c r="D50">
        <v>88</v>
      </c>
      <c r="E50">
        <v>27</v>
      </c>
      <c r="F50" t="s">
        <v>10</v>
      </c>
      <c r="G50">
        <v>11500</v>
      </c>
    </row>
    <row r="51" spans="1:7" x14ac:dyDescent="0.3">
      <c r="A51" t="s">
        <v>265</v>
      </c>
      <c r="B51" t="s">
        <v>18</v>
      </c>
      <c r="C51" t="s">
        <v>26</v>
      </c>
      <c r="D51">
        <v>61</v>
      </c>
      <c r="E51">
        <v>28</v>
      </c>
      <c r="F51" t="s">
        <v>10</v>
      </c>
      <c r="G51">
        <v>11500</v>
      </c>
    </row>
    <row r="52" spans="1:7" x14ac:dyDescent="0.3">
      <c r="A52" t="s">
        <v>238</v>
      </c>
      <c r="B52" t="s">
        <v>48</v>
      </c>
      <c r="C52" t="s">
        <v>26</v>
      </c>
      <c r="D52">
        <v>87</v>
      </c>
      <c r="E52">
        <v>22</v>
      </c>
      <c r="F52" t="s">
        <v>10</v>
      </c>
      <c r="G52">
        <v>10000</v>
      </c>
    </row>
    <row r="53" spans="1:7" x14ac:dyDescent="0.3">
      <c r="A53" t="s">
        <v>228</v>
      </c>
      <c r="B53" t="s">
        <v>65</v>
      </c>
      <c r="C53" t="s">
        <v>26</v>
      </c>
      <c r="D53">
        <v>78</v>
      </c>
      <c r="E53">
        <v>9</v>
      </c>
      <c r="F53" t="s">
        <v>10</v>
      </c>
      <c r="G53">
        <v>5500</v>
      </c>
    </row>
    <row r="54" spans="1:7" x14ac:dyDescent="0.3">
      <c r="A54" t="s">
        <v>215</v>
      </c>
      <c r="B54" t="s">
        <v>38</v>
      </c>
      <c r="C54" t="s">
        <v>26</v>
      </c>
      <c r="D54">
        <v>41</v>
      </c>
      <c r="E54">
        <v>28</v>
      </c>
      <c r="F54" t="s">
        <v>10</v>
      </c>
      <c r="G54">
        <v>1500</v>
      </c>
    </row>
    <row r="55" spans="1:7" x14ac:dyDescent="0.3">
      <c r="A55" t="s">
        <v>171</v>
      </c>
      <c r="B55" t="s">
        <v>28</v>
      </c>
      <c r="C55" t="s">
        <v>26</v>
      </c>
      <c r="D55">
        <v>39</v>
      </c>
      <c r="E55">
        <v>20</v>
      </c>
      <c r="F55" t="s">
        <v>10</v>
      </c>
      <c r="G55">
        <v>3500</v>
      </c>
    </row>
    <row r="56" spans="1:7" x14ac:dyDescent="0.3">
      <c r="A56" t="s">
        <v>526</v>
      </c>
      <c r="B56" t="s">
        <v>28</v>
      </c>
      <c r="C56" t="s">
        <v>26</v>
      </c>
      <c r="D56">
        <v>65</v>
      </c>
      <c r="E56">
        <v>9</v>
      </c>
      <c r="F56" t="s">
        <v>22</v>
      </c>
      <c r="G56">
        <v>3500</v>
      </c>
    </row>
    <row r="57" spans="1:7" x14ac:dyDescent="0.3">
      <c r="A57" t="s">
        <v>512</v>
      </c>
      <c r="B57" t="s">
        <v>25</v>
      </c>
      <c r="C57" t="s">
        <v>26</v>
      </c>
      <c r="D57">
        <v>106</v>
      </c>
      <c r="E57">
        <v>29</v>
      </c>
      <c r="F57" t="s">
        <v>22</v>
      </c>
      <c r="G57">
        <v>18000</v>
      </c>
    </row>
    <row r="58" spans="1:7" x14ac:dyDescent="0.3">
      <c r="A58" t="s">
        <v>492</v>
      </c>
      <c r="B58" t="s">
        <v>152</v>
      </c>
      <c r="C58" t="s">
        <v>26</v>
      </c>
      <c r="D58">
        <v>69</v>
      </c>
      <c r="E58">
        <v>17</v>
      </c>
      <c r="F58" t="s">
        <v>22</v>
      </c>
      <c r="G58">
        <v>1400</v>
      </c>
    </row>
    <row r="59" spans="1:7" x14ac:dyDescent="0.3">
      <c r="A59" t="s">
        <v>474</v>
      </c>
      <c r="B59" t="s">
        <v>31</v>
      </c>
      <c r="C59" t="s">
        <v>26</v>
      </c>
      <c r="D59">
        <v>74</v>
      </c>
      <c r="E59">
        <v>18</v>
      </c>
      <c r="F59" t="s">
        <v>22</v>
      </c>
      <c r="G59">
        <v>3000</v>
      </c>
    </row>
    <row r="60" spans="1:7" x14ac:dyDescent="0.3">
      <c r="A60" t="s">
        <v>446</v>
      </c>
      <c r="B60" t="s">
        <v>12</v>
      </c>
      <c r="C60" t="s">
        <v>26</v>
      </c>
      <c r="D60">
        <v>39</v>
      </c>
      <c r="E60">
        <v>10</v>
      </c>
      <c r="F60" t="s">
        <v>22</v>
      </c>
      <c r="G60">
        <v>2000</v>
      </c>
    </row>
    <row r="61" spans="1:7" x14ac:dyDescent="0.3">
      <c r="A61" t="s">
        <v>428</v>
      </c>
      <c r="B61" t="s">
        <v>45</v>
      </c>
      <c r="C61" t="s">
        <v>26</v>
      </c>
      <c r="D61">
        <v>19</v>
      </c>
      <c r="E61">
        <v>17</v>
      </c>
      <c r="F61" t="s">
        <v>22</v>
      </c>
      <c r="G61">
        <v>12000</v>
      </c>
    </row>
    <row r="62" spans="1:7" x14ac:dyDescent="0.3">
      <c r="A62" t="s">
        <v>426</v>
      </c>
      <c r="B62" t="s">
        <v>63</v>
      </c>
      <c r="C62" t="s">
        <v>26</v>
      </c>
      <c r="D62">
        <v>29</v>
      </c>
      <c r="E62">
        <v>14</v>
      </c>
      <c r="F62" t="s">
        <v>22</v>
      </c>
      <c r="G62">
        <v>800</v>
      </c>
    </row>
    <row r="63" spans="1:7" x14ac:dyDescent="0.3">
      <c r="A63" t="s">
        <v>414</v>
      </c>
      <c r="B63" t="s">
        <v>21</v>
      </c>
      <c r="C63" t="s">
        <v>26</v>
      </c>
      <c r="D63">
        <v>43</v>
      </c>
      <c r="E63">
        <v>13</v>
      </c>
      <c r="F63" t="s">
        <v>22</v>
      </c>
      <c r="G63">
        <v>2500</v>
      </c>
    </row>
    <row r="64" spans="1:7" x14ac:dyDescent="0.3">
      <c r="A64" t="s">
        <v>73</v>
      </c>
      <c r="B64" t="s">
        <v>61</v>
      </c>
      <c r="C64" t="s">
        <v>26</v>
      </c>
      <c r="D64">
        <v>22</v>
      </c>
      <c r="E64">
        <v>23</v>
      </c>
      <c r="F64" t="s">
        <v>22</v>
      </c>
      <c r="G64">
        <v>1200</v>
      </c>
    </row>
    <row r="65" spans="1:7" x14ac:dyDescent="0.3">
      <c r="A65" t="s">
        <v>386</v>
      </c>
      <c r="B65" t="s">
        <v>45</v>
      </c>
      <c r="C65" t="s">
        <v>26</v>
      </c>
      <c r="D65">
        <v>70</v>
      </c>
      <c r="E65">
        <v>18</v>
      </c>
      <c r="F65" t="s">
        <v>22</v>
      </c>
      <c r="G65">
        <v>12000</v>
      </c>
    </row>
    <row r="66" spans="1:7" x14ac:dyDescent="0.3">
      <c r="A66" t="s">
        <v>87</v>
      </c>
      <c r="B66" t="s">
        <v>31</v>
      </c>
      <c r="C66" t="s">
        <v>26</v>
      </c>
      <c r="D66">
        <v>55</v>
      </c>
      <c r="E66">
        <v>7</v>
      </c>
      <c r="F66" t="s">
        <v>22</v>
      </c>
      <c r="G66">
        <v>3000</v>
      </c>
    </row>
    <row r="67" spans="1:7" x14ac:dyDescent="0.3">
      <c r="A67" t="s">
        <v>90</v>
      </c>
      <c r="B67" t="s">
        <v>58</v>
      </c>
      <c r="C67" t="s">
        <v>26</v>
      </c>
      <c r="D67">
        <v>64</v>
      </c>
      <c r="E67">
        <v>21</v>
      </c>
      <c r="F67" t="s">
        <v>22</v>
      </c>
      <c r="G67">
        <v>1000</v>
      </c>
    </row>
    <row r="68" spans="1:7" x14ac:dyDescent="0.3">
      <c r="A68" t="s">
        <v>99</v>
      </c>
      <c r="B68" t="s">
        <v>40</v>
      </c>
      <c r="C68" t="s">
        <v>26</v>
      </c>
      <c r="D68">
        <v>52</v>
      </c>
      <c r="E68">
        <v>6</v>
      </c>
      <c r="F68" t="s">
        <v>22</v>
      </c>
      <c r="G68">
        <v>17500</v>
      </c>
    </row>
    <row r="69" spans="1:7" x14ac:dyDescent="0.3">
      <c r="A69" t="s">
        <v>333</v>
      </c>
      <c r="B69" t="s">
        <v>18</v>
      </c>
      <c r="C69" t="s">
        <v>26</v>
      </c>
      <c r="D69">
        <v>35</v>
      </c>
      <c r="E69">
        <v>30</v>
      </c>
      <c r="F69" t="s">
        <v>22</v>
      </c>
      <c r="G69">
        <v>11500</v>
      </c>
    </row>
    <row r="70" spans="1:7" x14ac:dyDescent="0.3">
      <c r="A70" t="s">
        <v>319</v>
      </c>
      <c r="B70" t="s">
        <v>8</v>
      </c>
      <c r="C70" t="s">
        <v>26</v>
      </c>
      <c r="D70">
        <v>48</v>
      </c>
      <c r="E70">
        <v>28</v>
      </c>
      <c r="F70" t="s">
        <v>22</v>
      </c>
      <c r="G70">
        <v>1800</v>
      </c>
    </row>
    <row r="71" spans="1:7" x14ac:dyDescent="0.3">
      <c r="A71" t="s">
        <v>301</v>
      </c>
      <c r="B71" t="s">
        <v>63</v>
      </c>
      <c r="C71" t="s">
        <v>26</v>
      </c>
      <c r="D71">
        <v>62</v>
      </c>
      <c r="E71">
        <v>8</v>
      </c>
      <c r="F71" t="s">
        <v>22</v>
      </c>
      <c r="G71">
        <v>800</v>
      </c>
    </row>
    <row r="72" spans="1:7" x14ac:dyDescent="0.3">
      <c r="A72" t="s">
        <v>282</v>
      </c>
      <c r="B72" t="s">
        <v>18</v>
      </c>
      <c r="C72" t="s">
        <v>26</v>
      </c>
      <c r="D72">
        <v>99</v>
      </c>
      <c r="E72">
        <v>28</v>
      </c>
      <c r="F72" t="s">
        <v>22</v>
      </c>
      <c r="G72">
        <v>11500</v>
      </c>
    </row>
    <row r="73" spans="1:7" x14ac:dyDescent="0.3">
      <c r="A73" t="s">
        <v>124</v>
      </c>
      <c r="B73" t="s">
        <v>40</v>
      </c>
      <c r="C73" t="s">
        <v>26</v>
      </c>
      <c r="D73">
        <v>27</v>
      </c>
      <c r="E73">
        <v>29</v>
      </c>
      <c r="F73" t="s">
        <v>22</v>
      </c>
      <c r="G73">
        <v>17500</v>
      </c>
    </row>
    <row r="74" spans="1:7" x14ac:dyDescent="0.3">
      <c r="A74" t="s">
        <v>258</v>
      </c>
      <c r="B74" t="s">
        <v>48</v>
      </c>
      <c r="C74" t="s">
        <v>26</v>
      </c>
      <c r="D74">
        <v>20</v>
      </c>
      <c r="E74">
        <v>12</v>
      </c>
      <c r="F74" t="s">
        <v>22</v>
      </c>
      <c r="G74">
        <v>10000</v>
      </c>
    </row>
    <row r="75" spans="1:7" x14ac:dyDescent="0.3">
      <c r="A75" t="s">
        <v>135</v>
      </c>
      <c r="B75" t="s">
        <v>31</v>
      </c>
      <c r="C75" t="s">
        <v>26</v>
      </c>
      <c r="D75">
        <v>73</v>
      </c>
      <c r="E75">
        <v>11</v>
      </c>
      <c r="F75" t="s">
        <v>22</v>
      </c>
      <c r="G75">
        <v>3000</v>
      </c>
    </row>
    <row r="76" spans="1:7" x14ac:dyDescent="0.3">
      <c r="A76" t="s">
        <v>141</v>
      </c>
      <c r="B76" t="s">
        <v>25</v>
      </c>
      <c r="C76" t="s">
        <v>26</v>
      </c>
      <c r="D76">
        <v>104</v>
      </c>
      <c r="E76">
        <v>22</v>
      </c>
      <c r="F76" t="s">
        <v>22</v>
      </c>
      <c r="G76">
        <v>18000</v>
      </c>
    </row>
    <row r="77" spans="1:7" x14ac:dyDescent="0.3">
      <c r="A77" t="s">
        <v>143</v>
      </c>
      <c r="B77" t="s">
        <v>58</v>
      </c>
      <c r="C77" t="s">
        <v>26</v>
      </c>
      <c r="D77">
        <v>76</v>
      </c>
      <c r="E77">
        <v>33</v>
      </c>
      <c r="F77" t="s">
        <v>22</v>
      </c>
      <c r="G77">
        <v>1000</v>
      </c>
    </row>
    <row r="78" spans="1:7" x14ac:dyDescent="0.3">
      <c r="A78" t="s">
        <v>146</v>
      </c>
      <c r="B78" t="s">
        <v>12</v>
      </c>
      <c r="C78" t="s">
        <v>26</v>
      </c>
      <c r="D78">
        <v>20</v>
      </c>
      <c r="E78">
        <v>18</v>
      </c>
      <c r="F78" t="s">
        <v>22</v>
      </c>
      <c r="G78">
        <v>2000</v>
      </c>
    </row>
    <row r="79" spans="1:7" x14ac:dyDescent="0.3">
      <c r="A79" t="s">
        <v>230</v>
      </c>
      <c r="B79" t="s">
        <v>12</v>
      </c>
      <c r="C79" t="s">
        <v>26</v>
      </c>
      <c r="D79">
        <v>57</v>
      </c>
      <c r="E79">
        <v>6</v>
      </c>
      <c r="F79" t="s">
        <v>22</v>
      </c>
      <c r="G79">
        <v>2000</v>
      </c>
    </row>
    <row r="80" spans="1:7" x14ac:dyDescent="0.3">
      <c r="A80" t="s">
        <v>226</v>
      </c>
      <c r="B80" t="s">
        <v>40</v>
      </c>
      <c r="C80" t="s">
        <v>26</v>
      </c>
      <c r="D80">
        <v>15</v>
      </c>
      <c r="E80">
        <v>33</v>
      </c>
      <c r="F80" t="s">
        <v>22</v>
      </c>
      <c r="G80">
        <v>17500</v>
      </c>
    </row>
    <row r="81" spans="1:7" x14ac:dyDescent="0.3">
      <c r="A81" t="s">
        <v>217</v>
      </c>
      <c r="B81" t="s">
        <v>12</v>
      </c>
      <c r="C81" t="s">
        <v>26</v>
      </c>
      <c r="D81">
        <v>43</v>
      </c>
      <c r="E81">
        <v>21</v>
      </c>
      <c r="F81" t="s">
        <v>22</v>
      </c>
      <c r="G81">
        <v>2000</v>
      </c>
    </row>
    <row r="82" spans="1:7" x14ac:dyDescent="0.3">
      <c r="A82" t="s">
        <v>198</v>
      </c>
      <c r="B82" t="s">
        <v>21</v>
      </c>
      <c r="C82" t="s">
        <v>26</v>
      </c>
      <c r="D82">
        <v>83</v>
      </c>
      <c r="E82">
        <v>16</v>
      </c>
      <c r="F82" t="s">
        <v>22</v>
      </c>
      <c r="G82">
        <v>2500</v>
      </c>
    </row>
    <row r="83" spans="1:7" x14ac:dyDescent="0.3">
      <c r="A83" t="s">
        <v>188</v>
      </c>
      <c r="B83" t="s">
        <v>40</v>
      </c>
      <c r="C83" t="s">
        <v>26</v>
      </c>
      <c r="D83">
        <v>11</v>
      </c>
      <c r="E83">
        <v>18</v>
      </c>
      <c r="F83" t="s">
        <v>22</v>
      </c>
      <c r="G83">
        <v>17500</v>
      </c>
    </row>
    <row r="84" spans="1:7" x14ac:dyDescent="0.3">
      <c r="A84" t="s">
        <v>178</v>
      </c>
      <c r="B84" t="s">
        <v>65</v>
      </c>
      <c r="C84" t="s">
        <v>26</v>
      </c>
      <c r="D84">
        <v>75</v>
      </c>
      <c r="E84">
        <v>13</v>
      </c>
      <c r="F84" t="s">
        <v>22</v>
      </c>
      <c r="G84">
        <v>5500</v>
      </c>
    </row>
    <row r="85" spans="1:7" x14ac:dyDescent="0.3">
      <c r="A85" t="s">
        <v>167</v>
      </c>
      <c r="B85" t="s">
        <v>28</v>
      </c>
      <c r="C85" t="s">
        <v>26</v>
      </c>
      <c r="D85">
        <v>40</v>
      </c>
      <c r="E85">
        <v>15</v>
      </c>
      <c r="F85" t="s">
        <v>22</v>
      </c>
      <c r="G85">
        <v>3500</v>
      </c>
    </row>
    <row r="86" spans="1:7" x14ac:dyDescent="0.3">
      <c r="A86" t="s">
        <v>507</v>
      </c>
      <c r="B86" t="s">
        <v>31</v>
      </c>
      <c r="C86" t="s">
        <v>26</v>
      </c>
      <c r="D86">
        <v>54</v>
      </c>
      <c r="E86">
        <v>6</v>
      </c>
      <c r="F86" t="s">
        <v>29</v>
      </c>
      <c r="G86">
        <v>3000</v>
      </c>
    </row>
    <row r="87" spans="1:7" x14ac:dyDescent="0.3">
      <c r="A87" t="s">
        <v>505</v>
      </c>
      <c r="B87" t="s">
        <v>58</v>
      </c>
      <c r="C87" t="s">
        <v>26</v>
      </c>
      <c r="D87">
        <v>107</v>
      </c>
      <c r="E87">
        <v>30</v>
      </c>
      <c r="F87" t="s">
        <v>29</v>
      </c>
      <c r="G87">
        <v>1000</v>
      </c>
    </row>
    <row r="88" spans="1:7" x14ac:dyDescent="0.3">
      <c r="A88" t="s">
        <v>27</v>
      </c>
      <c r="B88" t="s">
        <v>28</v>
      </c>
      <c r="C88" t="s">
        <v>26</v>
      </c>
      <c r="D88">
        <v>36</v>
      </c>
      <c r="E88">
        <v>15</v>
      </c>
      <c r="F88" t="s">
        <v>29</v>
      </c>
      <c r="G88">
        <v>3500</v>
      </c>
    </row>
    <row r="89" spans="1:7" x14ac:dyDescent="0.3">
      <c r="A89" t="s">
        <v>30</v>
      </c>
      <c r="B89" t="s">
        <v>31</v>
      </c>
      <c r="C89" t="s">
        <v>26</v>
      </c>
      <c r="D89">
        <v>40</v>
      </c>
      <c r="E89">
        <v>9</v>
      </c>
      <c r="F89" t="s">
        <v>29</v>
      </c>
      <c r="G89">
        <v>3000</v>
      </c>
    </row>
    <row r="90" spans="1:7" x14ac:dyDescent="0.3">
      <c r="A90" t="s">
        <v>472</v>
      </c>
      <c r="B90" t="s">
        <v>40</v>
      </c>
      <c r="C90" t="s">
        <v>26</v>
      </c>
      <c r="D90">
        <v>42</v>
      </c>
      <c r="E90">
        <v>28</v>
      </c>
      <c r="F90" t="s">
        <v>29</v>
      </c>
      <c r="G90">
        <v>17500</v>
      </c>
    </row>
    <row r="91" spans="1:7" x14ac:dyDescent="0.3">
      <c r="A91" t="s">
        <v>471</v>
      </c>
      <c r="B91" t="s">
        <v>12</v>
      </c>
      <c r="C91" t="s">
        <v>26</v>
      </c>
      <c r="D91">
        <v>28</v>
      </c>
      <c r="E91">
        <v>27</v>
      </c>
      <c r="F91" t="s">
        <v>29</v>
      </c>
      <c r="G91">
        <v>2000</v>
      </c>
    </row>
    <row r="92" spans="1:7" x14ac:dyDescent="0.3">
      <c r="A92" t="s">
        <v>454</v>
      </c>
      <c r="B92" t="s">
        <v>53</v>
      </c>
      <c r="C92" t="s">
        <v>26</v>
      </c>
      <c r="D92">
        <v>37</v>
      </c>
      <c r="E92">
        <v>19</v>
      </c>
      <c r="F92" t="s">
        <v>29</v>
      </c>
      <c r="G92">
        <v>4500</v>
      </c>
    </row>
    <row r="93" spans="1:7" x14ac:dyDescent="0.3">
      <c r="A93" t="s">
        <v>419</v>
      </c>
      <c r="B93" t="s">
        <v>38</v>
      </c>
      <c r="C93" t="s">
        <v>26</v>
      </c>
      <c r="D93">
        <v>49</v>
      </c>
      <c r="E93">
        <v>34</v>
      </c>
      <c r="F93" t="s">
        <v>29</v>
      </c>
      <c r="G93">
        <v>1500</v>
      </c>
    </row>
    <row r="94" spans="1:7" x14ac:dyDescent="0.3">
      <c r="A94" t="s">
        <v>417</v>
      </c>
      <c r="B94" t="s">
        <v>152</v>
      </c>
      <c r="C94" t="s">
        <v>26</v>
      </c>
      <c r="D94">
        <v>86</v>
      </c>
      <c r="E94">
        <v>24</v>
      </c>
      <c r="F94" t="s">
        <v>29</v>
      </c>
      <c r="G94">
        <v>1400</v>
      </c>
    </row>
    <row r="95" spans="1:7" x14ac:dyDescent="0.3">
      <c r="A95" t="s">
        <v>376</v>
      </c>
      <c r="B95" t="s">
        <v>25</v>
      </c>
      <c r="C95" t="s">
        <v>26</v>
      </c>
      <c r="D95">
        <v>78</v>
      </c>
      <c r="E95">
        <v>17</v>
      </c>
      <c r="F95" t="s">
        <v>29</v>
      </c>
      <c r="G95">
        <v>18000</v>
      </c>
    </row>
    <row r="96" spans="1:7" x14ac:dyDescent="0.3">
      <c r="A96" t="s">
        <v>363</v>
      </c>
      <c r="B96" t="s">
        <v>40</v>
      </c>
      <c r="C96" t="s">
        <v>26</v>
      </c>
      <c r="D96">
        <v>15</v>
      </c>
      <c r="E96">
        <v>14</v>
      </c>
      <c r="F96" t="s">
        <v>29</v>
      </c>
      <c r="G96">
        <v>17500</v>
      </c>
    </row>
    <row r="97" spans="1:7" x14ac:dyDescent="0.3">
      <c r="A97" t="s">
        <v>355</v>
      </c>
      <c r="B97" t="s">
        <v>58</v>
      </c>
      <c r="C97" t="s">
        <v>26</v>
      </c>
      <c r="D97">
        <v>54</v>
      </c>
      <c r="E97">
        <v>10</v>
      </c>
      <c r="F97" t="s">
        <v>29</v>
      </c>
      <c r="G97">
        <v>1000</v>
      </c>
    </row>
    <row r="98" spans="1:7" x14ac:dyDescent="0.3">
      <c r="A98" t="s">
        <v>354</v>
      </c>
      <c r="B98" t="s">
        <v>21</v>
      </c>
      <c r="C98" t="s">
        <v>26</v>
      </c>
      <c r="D98">
        <v>93</v>
      </c>
      <c r="E98">
        <v>12</v>
      </c>
      <c r="F98" t="s">
        <v>29</v>
      </c>
      <c r="G98">
        <v>2500</v>
      </c>
    </row>
    <row r="99" spans="1:7" x14ac:dyDescent="0.3">
      <c r="A99" t="s">
        <v>332</v>
      </c>
      <c r="B99" t="s">
        <v>61</v>
      </c>
      <c r="C99" t="s">
        <v>26</v>
      </c>
      <c r="D99">
        <v>92</v>
      </c>
      <c r="E99">
        <v>21</v>
      </c>
      <c r="F99" t="s">
        <v>29</v>
      </c>
      <c r="G99">
        <v>1200</v>
      </c>
    </row>
    <row r="100" spans="1:7" x14ac:dyDescent="0.3">
      <c r="A100" t="s">
        <v>326</v>
      </c>
      <c r="B100" t="s">
        <v>45</v>
      </c>
      <c r="C100" t="s">
        <v>26</v>
      </c>
      <c r="D100">
        <v>72</v>
      </c>
      <c r="E100">
        <v>32</v>
      </c>
      <c r="F100" t="s">
        <v>29</v>
      </c>
      <c r="G100">
        <v>12000</v>
      </c>
    </row>
    <row r="101" spans="1:7" x14ac:dyDescent="0.3">
      <c r="A101" t="s">
        <v>321</v>
      </c>
      <c r="B101" t="s">
        <v>71</v>
      </c>
      <c r="C101" t="s">
        <v>26</v>
      </c>
      <c r="D101">
        <v>57</v>
      </c>
      <c r="E101">
        <v>6</v>
      </c>
      <c r="F101" t="s">
        <v>29</v>
      </c>
      <c r="G101">
        <v>9000</v>
      </c>
    </row>
    <row r="102" spans="1:7" x14ac:dyDescent="0.3">
      <c r="A102" t="s">
        <v>293</v>
      </c>
      <c r="B102" t="s">
        <v>28</v>
      </c>
      <c r="C102" t="s">
        <v>26</v>
      </c>
      <c r="D102">
        <v>100</v>
      </c>
      <c r="E102">
        <v>10</v>
      </c>
      <c r="F102" t="s">
        <v>29</v>
      </c>
      <c r="G102">
        <v>3500</v>
      </c>
    </row>
    <row r="103" spans="1:7" x14ac:dyDescent="0.3">
      <c r="A103" t="s">
        <v>118</v>
      </c>
      <c r="B103" t="s">
        <v>18</v>
      </c>
      <c r="C103" t="s">
        <v>26</v>
      </c>
      <c r="D103">
        <v>21</v>
      </c>
      <c r="E103">
        <v>22</v>
      </c>
      <c r="F103" t="s">
        <v>29</v>
      </c>
      <c r="G103">
        <v>11500</v>
      </c>
    </row>
    <row r="104" spans="1:7" x14ac:dyDescent="0.3">
      <c r="A104" t="s">
        <v>260</v>
      </c>
      <c r="B104" t="s">
        <v>28</v>
      </c>
      <c r="C104" t="s">
        <v>26</v>
      </c>
      <c r="D104">
        <v>98</v>
      </c>
      <c r="E104">
        <v>29</v>
      </c>
      <c r="F104" t="s">
        <v>29</v>
      </c>
      <c r="G104">
        <v>3500</v>
      </c>
    </row>
    <row r="105" spans="1:7" x14ac:dyDescent="0.3">
      <c r="A105" t="s">
        <v>239</v>
      </c>
      <c r="B105" t="s">
        <v>58</v>
      </c>
      <c r="C105" t="s">
        <v>26</v>
      </c>
      <c r="D105">
        <v>66</v>
      </c>
      <c r="E105">
        <v>12</v>
      </c>
      <c r="F105" t="s">
        <v>29</v>
      </c>
      <c r="G105">
        <v>1000</v>
      </c>
    </row>
    <row r="106" spans="1:7" x14ac:dyDescent="0.3">
      <c r="A106" t="s">
        <v>201</v>
      </c>
      <c r="B106" t="s">
        <v>45</v>
      </c>
      <c r="C106" t="s">
        <v>26</v>
      </c>
      <c r="D106">
        <v>89</v>
      </c>
      <c r="E106">
        <v>22</v>
      </c>
      <c r="F106" t="s">
        <v>29</v>
      </c>
      <c r="G106">
        <v>12000</v>
      </c>
    </row>
    <row r="107" spans="1:7" x14ac:dyDescent="0.3">
      <c r="A107" t="s">
        <v>199</v>
      </c>
      <c r="B107" t="s">
        <v>31</v>
      </c>
      <c r="C107" t="s">
        <v>26</v>
      </c>
      <c r="D107">
        <v>45</v>
      </c>
      <c r="E107">
        <v>7</v>
      </c>
      <c r="F107" t="s">
        <v>29</v>
      </c>
      <c r="G107">
        <v>3000</v>
      </c>
    </row>
    <row r="108" spans="1:7" x14ac:dyDescent="0.3">
      <c r="A108" t="s">
        <v>182</v>
      </c>
      <c r="B108" t="s">
        <v>12</v>
      </c>
      <c r="C108" t="s">
        <v>26</v>
      </c>
      <c r="D108">
        <v>16</v>
      </c>
      <c r="E108">
        <v>20</v>
      </c>
      <c r="F108" t="s">
        <v>29</v>
      </c>
      <c r="G108">
        <v>2000</v>
      </c>
    </row>
    <row r="109" spans="1:7" x14ac:dyDescent="0.3">
      <c r="A109" t="s">
        <v>166</v>
      </c>
      <c r="B109" t="s">
        <v>14</v>
      </c>
      <c r="C109" t="s">
        <v>26</v>
      </c>
      <c r="D109">
        <v>20</v>
      </c>
      <c r="E109">
        <v>17</v>
      </c>
      <c r="F109" t="s">
        <v>29</v>
      </c>
      <c r="G109">
        <v>1500</v>
      </c>
    </row>
    <row r="110" spans="1:7" x14ac:dyDescent="0.3">
      <c r="A110" t="s">
        <v>169</v>
      </c>
      <c r="B110" t="s">
        <v>152</v>
      </c>
      <c r="C110" t="s">
        <v>26</v>
      </c>
      <c r="D110">
        <v>93</v>
      </c>
      <c r="E110">
        <v>12</v>
      </c>
      <c r="F110" t="s">
        <v>29</v>
      </c>
      <c r="G110">
        <v>1400</v>
      </c>
    </row>
    <row r="111" spans="1:7" x14ac:dyDescent="0.3">
      <c r="A111" t="s">
        <v>35</v>
      </c>
      <c r="B111" t="s">
        <v>18</v>
      </c>
      <c r="C111" t="s">
        <v>26</v>
      </c>
      <c r="D111">
        <v>50</v>
      </c>
      <c r="E111">
        <v>16</v>
      </c>
      <c r="F111" t="s">
        <v>16</v>
      </c>
      <c r="G111">
        <v>11500</v>
      </c>
    </row>
    <row r="112" spans="1:7" x14ac:dyDescent="0.3">
      <c r="A112" t="s">
        <v>489</v>
      </c>
      <c r="B112" t="s">
        <v>21</v>
      </c>
      <c r="C112" t="s">
        <v>26</v>
      </c>
      <c r="D112">
        <v>55</v>
      </c>
      <c r="E112">
        <v>8</v>
      </c>
      <c r="F112" t="s">
        <v>16</v>
      </c>
      <c r="G112">
        <v>2500</v>
      </c>
    </row>
    <row r="113" spans="1:7" x14ac:dyDescent="0.3">
      <c r="A113" t="s">
        <v>484</v>
      </c>
      <c r="B113" t="s">
        <v>58</v>
      </c>
      <c r="C113" t="s">
        <v>26</v>
      </c>
      <c r="D113">
        <v>27</v>
      </c>
      <c r="E113">
        <v>15</v>
      </c>
      <c r="F113" t="s">
        <v>16</v>
      </c>
      <c r="G113">
        <v>1000</v>
      </c>
    </row>
    <row r="114" spans="1:7" x14ac:dyDescent="0.3">
      <c r="A114" t="s">
        <v>462</v>
      </c>
      <c r="B114" t="s">
        <v>18</v>
      </c>
      <c r="C114" t="s">
        <v>26</v>
      </c>
      <c r="D114">
        <v>49</v>
      </c>
      <c r="E114">
        <v>13</v>
      </c>
      <c r="F114" t="s">
        <v>16</v>
      </c>
      <c r="G114">
        <v>11500</v>
      </c>
    </row>
    <row r="115" spans="1:7" x14ac:dyDescent="0.3">
      <c r="A115" t="s">
        <v>51</v>
      </c>
      <c r="B115" t="s">
        <v>31</v>
      </c>
      <c r="C115" t="s">
        <v>26</v>
      </c>
      <c r="D115">
        <v>36</v>
      </c>
      <c r="E115">
        <v>28</v>
      </c>
      <c r="F115" t="s">
        <v>16</v>
      </c>
      <c r="G115">
        <v>3000</v>
      </c>
    </row>
    <row r="116" spans="1:7" x14ac:dyDescent="0.3">
      <c r="A116" t="s">
        <v>442</v>
      </c>
      <c r="B116" t="s">
        <v>48</v>
      </c>
      <c r="C116" t="s">
        <v>26</v>
      </c>
      <c r="D116">
        <v>31</v>
      </c>
      <c r="E116">
        <v>15</v>
      </c>
      <c r="F116" t="s">
        <v>16</v>
      </c>
      <c r="G116">
        <v>10000</v>
      </c>
    </row>
    <row r="117" spans="1:7" x14ac:dyDescent="0.3">
      <c r="A117" t="s">
        <v>433</v>
      </c>
      <c r="B117" t="s">
        <v>58</v>
      </c>
      <c r="C117" t="s">
        <v>26</v>
      </c>
      <c r="D117">
        <v>57</v>
      </c>
      <c r="E117">
        <v>16</v>
      </c>
      <c r="F117" t="s">
        <v>16</v>
      </c>
      <c r="G117">
        <v>1000</v>
      </c>
    </row>
    <row r="118" spans="1:7" x14ac:dyDescent="0.3">
      <c r="A118" t="s">
        <v>408</v>
      </c>
      <c r="B118" t="s">
        <v>25</v>
      </c>
      <c r="C118" t="s">
        <v>26</v>
      </c>
      <c r="D118">
        <v>33</v>
      </c>
      <c r="E118">
        <v>19</v>
      </c>
      <c r="F118" t="s">
        <v>16</v>
      </c>
      <c r="G118">
        <v>18000</v>
      </c>
    </row>
    <row r="119" spans="1:7" x14ac:dyDescent="0.3">
      <c r="A119" t="s">
        <v>405</v>
      </c>
      <c r="B119" t="s">
        <v>53</v>
      </c>
      <c r="C119" t="s">
        <v>26</v>
      </c>
      <c r="D119">
        <v>12</v>
      </c>
      <c r="E119">
        <v>33</v>
      </c>
      <c r="F119" t="s">
        <v>16</v>
      </c>
      <c r="G119">
        <v>4500</v>
      </c>
    </row>
    <row r="120" spans="1:7" x14ac:dyDescent="0.3">
      <c r="A120" t="s">
        <v>401</v>
      </c>
      <c r="B120" t="s">
        <v>58</v>
      </c>
      <c r="C120" t="s">
        <v>26</v>
      </c>
      <c r="D120">
        <v>12</v>
      </c>
      <c r="E120">
        <v>23</v>
      </c>
      <c r="F120" t="s">
        <v>16</v>
      </c>
      <c r="G120">
        <v>1000</v>
      </c>
    </row>
    <row r="121" spans="1:7" x14ac:dyDescent="0.3">
      <c r="A121" t="s">
        <v>382</v>
      </c>
      <c r="B121" t="s">
        <v>18</v>
      </c>
      <c r="C121" t="s">
        <v>26</v>
      </c>
      <c r="D121">
        <v>49</v>
      </c>
      <c r="E121">
        <v>18</v>
      </c>
      <c r="F121" t="s">
        <v>16</v>
      </c>
      <c r="G121">
        <v>11500</v>
      </c>
    </row>
    <row r="122" spans="1:7" x14ac:dyDescent="0.3">
      <c r="A122" t="s">
        <v>374</v>
      </c>
      <c r="B122" t="s">
        <v>40</v>
      </c>
      <c r="C122" t="s">
        <v>26</v>
      </c>
      <c r="D122">
        <v>34</v>
      </c>
      <c r="E122">
        <v>21</v>
      </c>
      <c r="F122" t="s">
        <v>16</v>
      </c>
      <c r="G122">
        <v>17500</v>
      </c>
    </row>
    <row r="123" spans="1:7" x14ac:dyDescent="0.3">
      <c r="A123" t="s">
        <v>364</v>
      </c>
      <c r="B123" t="s">
        <v>8</v>
      </c>
      <c r="C123" t="s">
        <v>26</v>
      </c>
      <c r="D123">
        <v>98</v>
      </c>
      <c r="E123">
        <v>22</v>
      </c>
      <c r="F123" t="s">
        <v>16</v>
      </c>
      <c r="G123">
        <v>1800</v>
      </c>
    </row>
    <row r="124" spans="1:7" x14ac:dyDescent="0.3">
      <c r="A124" t="s">
        <v>357</v>
      </c>
      <c r="B124" t="s">
        <v>45</v>
      </c>
      <c r="C124" t="s">
        <v>26</v>
      </c>
      <c r="D124">
        <v>71</v>
      </c>
      <c r="E124">
        <v>22</v>
      </c>
      <c r="F124" t="s">
        <v>16</v>
      </c>
      <c r="G124">
        <v>12000</v>
      </c>
    </row>
    <row r="125" spans="1:7" x14ac:dyDescent="0.3">
      <c r="A125" t="s">
        <v>330</v>
      </c>
      <c r="B125" t="s">
        <v>25</v>
      </c>
      <c r="C125" t="s">
        <v>26</v>
      </c>
      <c r="D125">
        <v>33</v>
      </c>
      <c r="E125">
        <v>13</v>
      </c>
      <c r="F125" t="s">
        <v>16</v>
      </c>
      <c r="G125">
        <v>18000</v>
      </c>
    </row>
    <row r="126" spans="1:7" x14ac:dyDescent="0.3">
      <c r="A126" t="s">
        <v>104</v>
      </c>
      <c r="B126" t="s">
        <v>71</v>
      </c>
      <c r="C126" t="s">
        <v>26</v>
      </c>
      <c r="D126">
        <v>48</v>
      </c>
      <c r="E126">
        <v>18</v>
      </c>
      <c r="F126" t="s">
        <v>16</v>
      </c>
      <c r="G126">
        <v>9000</v>
      </c>
    </row>
    <row r="127" spans="1:7" x14ac:dyDescent="0.3">
      <c r="A127" t="s">
        <v>292</v>
      </c>
      <c r="B127" t="s">
        <v>48</v>
      </c>
      <c r="C127" t="s">
        <v>26</v>
      </c>
      <c r="D127">
        <v>31</v>
      </c>
      <c r="E127">
        <v>21</v>
      </c>
      <c r="F127" t="s">
        <v>16</v>
      </c>
      <c r="G127">
        <v>10000</v>
      </c>
    </row>
    <row r="128" spans="1:7" x14ac:dyDescent="0.3">
      <c r="A128" t="s">
        <v>130</v>
      </c>
      <c r="B128" t="s">
        <v>45</v>
      </c>
      <c r="C128" t="s">
        <v>26</v>
      </c>
      <c r="D128">
        <v>90</v>
      </c>
      <c r="E128">
        <v>21</v>
      </c>
      <c r="F128" t="s">
        <v>16</v>
      </c>
      <c r="G128">
        <v>12000</v>
      </c>
    </row>
    <row r="129" spans="1:7" x14ac:dyDescent="0.3">
      <c r="A129" t="s">
        <v>131</v>
      </c>
      <c r="B129" t="s">
        <v>31</v>
      </c>
      <c r="C129" t="s">
        <v>26</v>
      </c>
      <c r="D129">
        <v>16</v>
      </c>
      <c r="E129">
        <v>12</v>
      </c>
      <c r="F129" t="s">
        <v>16</v>
      </c>
      <c r="G129">
        <v>3000</v>
      </c>
    </row>
    <row r="130" spans="1:7" x14ac:dyDescent="0.3">
      <c r="A130" t="s">
        <v>250</v>
      </c>
      <c r="B130" t="s">
        <v>25</v>
      </c>
      <c r="C130" t="s">
        <v>26</v>
      </c>
      <c r="D130">
        <v>37</v>
      </c>
      <c r="E130">
        <v>32</v>
      </c>
      <c r="F130" t="s">
        <v>16</v>
      </c>
      <c r="G130">
        <v>18000</v>
      </c>
    </row>
    <row r="131" spans="1:7" x14ac:dyDescent="0.3">
      <c r="A131" t="s">
        <v>245</v>
      </c>
      <c r="B131" t="s">
        <v>8</v>
      </c>
      <c r="C131" t="s">
        <v>26</v>
      </c>
      <c r="D131">
        <v>35</v>
      </c>
      <c r="E131">
        <v>25</v>
      </c>
      <c r="F131" t="s">
        <v>16</v>
      </c>
      <c r="G131">
        <v>1800</v>
      </c>
    </row>
    <row r="132" spans="1:7" x14ac:dyDescent="0.3">
      <c r="A132" t="s">
        <v>144</v>
      </c>
      <c r="B132" t="s">
        <v>43</v>
      </c>
      <c r="C132" t="s">
        <v>26</v>
      </c>
      <c r="D132">
        <v>45</v>
      </c>
      <c r="E132">
        <v>34</v>
      </c>
      <c r="F132" t="s">
        <v>16</v>
      </c>
      <c r="G132">
        <v>2000</v>
      </c>
    </row>
    <row r="133" spans="1:7" x14ac:dyDescent="0.3">
      <c r="A133" t="s">
        <v>233</v>
      </c>
      <c r="B133" t="s">
        <v>61</v>
      </c>
      <c r="C133" t="s">
        <v>26</v>
      </c>
      <c r="D133">
        <v>14</v>
      </c>
      <c r="E133">
        <v>13</v>
      </c>
      <c r="F133" t="s">
        <v>16</v>
      </c>
      <c r="G133">
        <v>1200</v>
      </c>
    </row>
    <row r="134" spans="1:7" x14ac:dyDescent="0.3">
      <c r="A134" t="s">
        <v>147</v>
      </c>
      <c r="B134" t="s">
        <v>12</v>
      </c>
      <c r="C134" t="s">
        <v>26</v>
      </c>
      <c r="D134">
        <v>30</v>
      </c>
      <c r="E134">
        <v>17</v>
      </c>
      <c r="F134" t="s">
        <v>16</v>
      </c>
      <c r="G134">
        <v>2000</v>
      </c>
    </row>
    <row r="135" spans="1:7" x14ac:dyDescent="0.3">
      <c r="A135" t="s">
        <v>196</v>
      </c>
      <c r="B135" t="s">
        <v>40</v>
      </c>
      <c r="C135" t="s">
        <v>26</v>
      </c>
      <c r="D135">
        <v>103</v>
      </c>
      <c r="E135">
        <v>11</v>
      </c>
      <c r="F135" t="s">
        <v>16</v>
      </c>
      <c r="G135">
        <v>17500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241B1-2C8F-4676-BEF4-4F24D42594EC}">
  <dimension ref="A3:M70"/>
  <sheetViews>
    <sheetView topLeftCell="A22" zoomScaleNormal="100" workbookViewId="0">
      <selection activeCell="C19" sqref="C19"/>
    </sheetView>
  </sheetViews>
  <sheetFormatPr defaultRowHeight="14.4" x14ac:dyDescent="0.3"/>
  <cols>
    <col min="1" max="1" width="15.44140625" bestFit="1" customWidth="1"/>
    <col min="2" max="2" width="12" bestFit="1" customWidth="1"/>
    <col min="3" max="3" width="11.5546875" bestFit="1" customWidth="1"/>
    <col min="4" max="4" width="11.88671875" bestFit="1" customWidth="1"/>
    <col min="5" max="5" width="10.21875" customWidth="1"/>
    <col min="6" max="6" width="19.21875" customWidth="1"/>
    <col min="7" max="7" width="14.5546875" bestFit="1" customWidth="1"/>
    <col min="8" max="8" width="15.77734375" bestFit="1" customWidth="1"/>
    <col min="10" max="10" width="15.44140625" bestFit="1" customWidth="1"/>
    <col min="11" max="11" width="12" bestFit="1" customWidth="1"/>
    <col min="13" max="13" width="22" bestFit="1" customWidth="1"/>
    <col min="14" max="14" width="14.5546875" bestFit="1" customWidth="1"/>
  </cols>
  <sheetData>
    <row r="3" spans="1:7" x14ac:dyDescent="0.3">
      <c r="A3" s="2" t="s">
        <v>1062</v>
      </c>
      <c r="B3" t="s">
        <v>1090</v>
      </c>
    </row>
    <row r="4" spans="1:7" x14ac:dyDescent="0.3">
      <c r="A4" s="3" t="s">
        <v>25</v>
      </c>
      <c r="B4">
        <v>305</v>
      </c>
    </row>
    <row r="5" spans="1:7" x14ac:dyDescent="0.3">
      <c r="A5" s="3" t="s">
        <v>152</v>
      </c>
      <c r="B5">
        <v>209</v>
      </c>
    </row>
    <row r="6" spans="1:7" x14ac:dyDescent="0.3">
      <c r="A6" s="3" t="s">
        <v>71</v>
      </c>
      <c r="B6">
        <v>417</v>
      </c>
    </row>
    <row r="7" spans="1:7" x14ac:dyDescent="0.3">
      <c r="A7" s="3" t="s">
        <v>21</v>
      </c>
      <c r="B7">
        <v>499</v>
      </c>
      <c r="D7" t="s">
        <v>1088</v>
      </c>
      <c r="F7" s="10" t="s">
        <v>1091</v>
      </c>
      <c r="G7" s="10" t="s">
        <v>1092</v>
      </c>
    </row>
    <row r="8" spans="1:7" x14ac:dyDescent="0.3">
      <c r="A8" s="3" t="s">
        <v>65</v>
      </c>
      <c r="B8">
        <v>216</v>
      </c>
      <c r="D8">
        <v>2489</v>
      </c>
      <c r="F8" t="s">
        <v>1093</v>
      </c>
      <c r="G8">
        <f xml:space="preserve"> GETPIVOTDATA("stock",$D$10)</f>
        <v>7231</v>
      </c>
    </row>
    <row r="9" spans="1:7" x14ac:dyDescent="0.3">
      <c r="A9" s="3" t="s">
        <v>48</v>
      </c>
      <c r="B9">
        <v>302</v>
      </c>
      <c r="F9" t="s">
        <v>1094</v>
      </c>
      <c r="G9">
        <f>GETPIVOTDATA("reorder_level",$D$7)</f>
        <v>2489</v>
      </c>
    </row>
    <row r="10" spans="1:7" x14ac:dyDescent="0.3">
      <c r="A10" s="3" t="s">
        <v>38</v>
      </c>
      <c r="B10">
        <v>147</v>
      </c>
      <c r="D10" t="s">
        <v>1086</v>
      </c>
      <c r="F10" t="s">
        <v>1097</v>
      </c>
      <c r="G10" s="9">
        <f>GETPIVOTDATA("nventory value",$C$14)</f>
        <v>4795599200</v>
      </c>
    </row>
    <row r="11" spans="1:7" x14ac:dyDescent="0.3">
      <c r="A11" s="3" t="s">
        <v>8</v>
      </c>
      <c r="B11">
        <v>442</v>
      </c>
      <c r="D11">
        <v>7231</v>
      </c>
    </row>
    <row r="12" spans="1:7" x14ac:dyDescent="0.3">
      <c r="A12" s="3" t="s">
        <v>31</v>
      </c>
      <c r="B12">
        <v>394</v>
      </c>
    </row>
    <row r="13" spans="1:7" x14ac:dyDescent="0.3">
      <c r="A13" s="3" t="s">
        <v>58</v>
      </c>
      <c r="B13">
        <v>298</v>
      </c>
    </row>
    <row r="14" spans="1:7" x14ac:dyDescent="0.3">
      <c r="A14" s="3" t="s">
        <v>12</v>
      </c>
      <c r="B14">
        <v>343</v>
      </c>
      <c r="C14" s="2" t="s">
        <v>1062</v>
      </c>
      <c r="D14" t="s">
        <v>1095</v>
      </c>
    </row>
    <row r="15" spans="1:7" x14ac:dyDescent="0.3">
      <c r="A15" s="3" t="s">
        <v>18</v>
      </c>
      <c r="B15">
        <v>449</v>
      </c>
      <c r="C15" s="3" t="s">
        <v>19</v>
      </c>
      <c r="D15" s="9">
        <v>422690000</v>
      </c>
    </row>
    <row r="16" spans="1:7" x14ac:dyDescent="0.3">
      <c r="A16" s="3" t="s">
        <v>43</v>
      </c>
      <c r="B16">
        <v>638</v>
      </c>
      <c r="C16" s="3" t="s">
        <v>10</v>
      </c>
      <c r="D16" s="9">
        <v>183647700</v>
      </c>
    </row>
    <row r="17" spans="1:4" x14ac:dyDescent="0.3">
      <c r="A17" s="3" t="s">
        <v>61</v>
      </c>
      <c r="B17">
        <v>460</v>
      </c>
      <c r="C17" s="3" t="s">
        <v>22</v>
      </c>
      <c r="D17" s="9">
        <v>142254400</v>
      </c>
    </row>
    <row r="18" spans="1:4" x14ac:dyDescent="0.3">
      <c r="A18" s="3" t="s">
        <v>40</v>
      </c>
      <c r="B18">
        <v>339</v>
      </c>
      <c r="C18" s="3" t="s">
        <v>29</v>
      </c>
      <c r="D18" s="9">
        <v>120280000</v>
      </c>
    </row>
    <row r="19" spans="1:4" x14ac:dyDescent="0.3">
      <c r="A19" s="3" t="s">
        <v>14</v>
      </c>
      <c r="B19">
        <v>389</v>
      </c>
      <c r="C19" s="3" t="s">
        <v>16</v>
      </c>
      <c r="D19" s="9">
        <v>141073900</v>
      </c>
    </row>
    <row r="20" spans="1:4" x14ac:dyDescent="0.3">
      <c r="A20" s="3" t="s">
        <v>63</v>
      </c>
      <c r="B20">
        <v>586</v>
      </c>
      <c r="C20" s="3" t="s">
        <v>1063</v>
      </c>
      <c r="D20" s="9">
        <v>4795599200</v>
      </c>
    </row>
    <row r="21" spans="1:4" x14ac:dyDescent="0.3">
      <c r="A21" s="3" t="s">
        <v>28</v>
      </c>
      <c r="B21">
        <v>463</v>
      </c>
    </row>
    <row r="22" spans="1:4" x14ac:dyDescent="0.3">
      <c r="A22" s="3" t="s">
        <v>45</v>
      </c>
      <c r="B22">
        <v>284</v>
      </c>
    </row>
    <row r="23" spans="1:4" x14ac:dyDescent="0.3">
      <c r="A23" s="3" t="s">
        <v>53</v>
      </c>
      <c r="B23">
        <v>51</v>
      </c>
    </row>
    <row r="24" spans="1:4" x14ac:dyDescent="0.3">
      <c r="A24" s="3" t="s">
        <v>1063</v>
      </c>
      <c r="B24">
        <v>7231</v>
      </c>
    </row>
    <row r="26" spans="1:4" x14ac:dyDescent="0.3">
      <c r="B26" s="2" t="s">
        <v>1062</v>
      </c>
      <c r="C26" t="s">
        <v>1087</v>
      </c>
    </row>
    <row r="27" spans="1:4" x14ac:dyDescent="0.3">
      <c r="B27" s="3" t="s">
        <v>25</v>
      </c>
      <c r="C27" s="9">
        <v>108000</v>
      </c>
    </row>
    <row r="28" spans="1:4" x14ac:dyDescent="0.3">
      <c r="B28" s="3" t="s">
        <v>152</v>
      </c>
      <c r="C28" s="9">
        <v>5600</v>
      </c>
    </row>
    <row r="29" spans="1:4" x14ac:dyDescent="0.3">
      <c r="B29" s="3" t="s">
        <v>71</v>
      </c>
      <c r="C29" s="9">
        <v>54000</v>
      </c>
    </row>
    <row r="30" spans="1:4" x14ac:dyDescent="0.3">
      <c r="B30" s="3" t="s">
        <v>21</v>
      </c>
      <c r="C30" s="9">
        <v>22500</v>
      </c>
    </row>
    <row r="31" spans="1:4" x14ac:dyDescent="0.3">
      <c r="B31" s="3" t="s">
        <v>65</v>
      </c>
      <c r="C31" s="9">
        <v>22000</v>
      </c>
    </row>
    <row r="32" spans="1:4" x14ac:dyDescent="0.3">
      <c r="B32" s="3" t="s">
        <v>48</v>
      </c>
      <c r="C32" s="9">
        <v>40000</v>
      </c>
    </row>
    <row r="33" spans="2:13" x14ac:dyDescent="0.3">
      <c r="B33" s="3" t="s">
        <v>38</v>
      </c>
      <c r="C33" s="9">
        <v>3000</v>
      </c>
    </row>
    <row r="34" spans="2:13" x14ac:dyDescent="0.3">
      <c r="B34" s="3" t="s">
        <v>8</v>
      </c>
      <c r="C34" s="9">
        <v>18000</v>
      </c>
    </row>
    <row r="35" spans="2:13" x14ac:dyDescent="0.3">
      <c r="B35" s="3" t="s">
        <v>31</v>
      </c>
      <c r="C35" s="9">
        <v>27000</v>
      </c>
    </row>
    <row r="36" spans="2:13" x14ac:dyDescent="0.3">
      <c r="B36" s="3" t="s">
        <v>58</v>
      </c>
      <c r="C36" s="9">
        <v>5000</v>
      </c>
    </row>
    <row r="37" spans="2:13" x14ac:dyDescent="0.3">
      <c r="B37" s="3" t="s">
        <v>12</v>
      </c>
      <c r="C37" s="9">
        <v>12000</v>
      </c>
      <c r="M37" s="11"/>
    </row>
    <row r="38" spans="2:13" x14ac:dyDescent="0.3">
      <c r="B38" s="3" t="s">
        <v>18</v>
      </c>
      <c r="C38" s="9">
        <v>103500</v>
      </c>
    </row>
    <row r="39" spans="2:13" x14ac:dyDescent="0.3">
      <c r="B39" s="3" t="s">
        <v>43</v>
      </c>
      <c r="C39" s="9">
        <v>22000</v>
      </c>
    </row>
    <row r="40" spans="2:13" x14ac:dyDescent="0.3">
      <c r="B40" s="3" t="s">
        <v>61</v>
      </c>
      <c r="C40" s="9">
        <v>8400</v>
      </c>
    </row>
    <row r="41" spans="2:13" x14ac:dyDescent="0.3">
      <c r="B41" s="3" t="s">
        <v>40</v>
      </c>
      <c r="C41" s="9">
        <v>105000</v>
      </c>
    </row>
    <row r="42" spans="2:13" x14ac:dyDescent="0.3">
      <c r="B42" s="3" t="s">
        <v>14</v>
      </c>
      <c r="C42" s="9">
        <v>7500</v>
      </c>
    </row>
    <row r="43" spans="2:13" x14ac:dyDescent="0.3">
      <c r="B43" s="3" t="s">
        <v>63</v>
      </c>
      <c r="C43" s="9">
        <v>7200</v>
      </c>
    </row>
    <row r="44" spans="2:13" x14ac:dyDescent="0.3">
      <c r="B44" s="3" t="s">
        <v>28</v>
      </c>
      <c r="C44" s="9">
        <v>28000</v>
      </c>
    </row>
    <row r="45" spans="2:13" x14ac:dyDescent="0.3">
      <c r="B45" s="3" t="s">
        <v>45</v>
      </c>
      <c r="C45" s="9">
        <v>60000</v>
      </c>
    </row>
    <row r="46" spans="2:13" x14ac:dyDescent="0.3">
      <c r="B46" s="3" t="s">
        <v>53</v>
      </c>
      <c r="C46" s="9">
        <v>4500</v>
      </c>
    </row>
    <row r="47" spans="2:13" x14ac:dyDescent="0.3">
      <c r="B47" s="3" t="s">
        <v>1063</v>
      </c>
      <c r="C47">
        <v>663200</v>
      </c>
    </row>
    <row r="49" spans="1:2" x14ac:dyDescent="0.3">
      <c r="A49" s="2" t="s">
        <v>1062</v>
      </c>
      <c r="B49" t="s">
        <v>1089</v>
      </c>
    </row>
    <row r="50" spans="1:2" x14ac:dyDescent="0.3">
      <c r="A50" s="3" t="s">
        <v>25</v>
      </c>
      <c r="B50" s="9">
        <v>32940000</v>
      </c>
    </row>
    <row r="51" spans="1:2" x14ac:dyDescent="0.3">
      <c r="A51" s="3" t="s">
        <v>152</v>
      </c>
      <c r="B51" s="9">
        <v>1170400</v>
      </c>
    </row>
    <row r="52" spans="1:2" x14ac:dyDescent="0.3">
      <c r="A52" s="3" t="s">
        <v>71</v>
      </c>
      <c r="B52" s="9">
        <v>22518000</v>
      </c>
    </row>
    <row r="53" spans="1:2" x14ac:dyDescent="0.3">
      <c r="A53" s="3" t="s">
        <v>21</v>
      </c>
      <c r="B53" s="9">
        <v>11227500</v>
      </c>
    </row>
    <row r="54" spans="1:2" x14ac:dyDescent="0.3">
      <c r="A54" s="3" t="s">
        <v>65</v>
      </c>
      <c r="B54" s="9">
        <v>4752000</v>
      </c>
    </row>
    <row r="55" spans="1:2" x14ac:dyDescent="0.3">
      <c r="A55" s="3" t="s">
        <v>48</v>
      </c>
      <c r="B55" s="9">
        <v>12080000</v>
      </c>
    </row>
    <row r="56" spans="1:2" x14ac:dyDescent="0.3">
      <c r="A56" s="3" t="s">
        <v>38</v>
      </c>
      <c r="B56" s="9">
        <v>441000</v>
      </c>
    </row>
    <row r="57" spans="1:2" x14ac:dyDescent="0.3">
      <c r="A57" s="3" t="s">
        <v>8</v>
      </c>
      <c r="B57" s="9">
        <v>7956000</v>
      </c>
    </row>
    <row r="58" spans="1:2" x14ac:dyDescent="0.3">
      <c r="A58" s="3" t="s">
        <v>31</v>
      </c>
      <c r="B58" s="9">
        <v>10638000</v>
      </c>
    </row>
    <row r="59" spans="1:2" x14ac:dyDescent="0.3">
      <c r="A59" s="3" t="s">
        <v>58</v>
      </c>
      <c r="B59" s="9">
        <v>1490000</v>
      </c>
    </row>
    <row r="60" spans="1:2" x14ac:dyDescent="0.3">
      <c r="A60" s="3" t="s">
        <v>12</v>
      </c>
      <c r="B60" s="9">
        <v>4116000</v>
      </c>
    </row>
    <row r="61" spans="1:2" x14ac:dyDescent="0.3">
      <c r="A61" s="3" t="s">
        <v>18</v>
      </c>
      <c r="B61" s="9">
        <v>46471500</v>
      </c>
    </row>
    <row r="62" spans="1:2" x14ac:dyDescent="0.3">
      <c r="A62" s="3" t="s">
        <v>43</v>
      </c>
      <c r="B62" s="9">
        <v>14036000</v>
      </c>
    </row>
    <row r="63" spans="1:2" x14ac:dyDescent="0.3">
      <c r="A63" s="3" t="s">
        <v>61</v>
      </c>
      <c r="B63" s="9">
        <v>3864000</v>
      </c>
    </row>
    <row r="64" spans="1:2" x14ac:dyDescent="0.3">
      <c r="A64" s="3" t="s">
        <v>40</v>
      </c>
      <c r="B64" s="9">
        <v>35595000</v>
      </c>
    </row>
    <row r="65" spans="1:2" x14ac:dyDescent="0.3">
      <c r="A65" s="3" t="s">
        <v>14</v>
      </c>
      <c r="B65" s="9">
        <v>2917500</v>
      </c>
    </row>
    <row r="66" spans="1:2" x14ac:dyDescent="0.3">
      <c r="A66" s="3" t="s">
        <v>63</v>
      </c>
      <c r="B66" s="9">
        <v>4219200</v>
      </c>
    </row>
    <row r="67" spans="1:2" x14ac:dyDescent="0.3">
      <c r="A67" s="3" t="s">
        <v>28</v>
      </c>
      <c r="B67" s="9">
        <v>12964000</v>
      </c>
    </row>
    <row r="68" spans="1:2" x14ac:dyDescent="0.3">
      <c r="A68" s="3" t="s">
        <v>45</v>
      </c>
      <c r="B68" s="9">
        <v>17040000</v>
      </c>
    </row>
    <row r="69" spans="1:2" x14ac:dyDescent="0.3">
      <c r="A69" s="3" t="s">
        <v>53</v>
      </c>
      <c r="B69" s="9">
        <v>229500</v>
      </c>
    </row>
    <row r="70" spans="1:2" x14ac:dyDescent="0.3">
      <c r="A70" s="3" t="s">
        <v>1063</v>
      </c>
      <c r="B70">
        <v>4795599200</v>
      </c>
    </row>
  </sheetData>
  <pageMargins left="0.7" right="0.7" top="0.75" bottom="0.75" header="0.3" footer="0.3"/>
  <pageSetup orientation="portrait" horizontalDpi="1200" verticalDpi="1200"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57448-87B6-4B89-8E96-E907BF856C2F}">
  <dimension ref="D1:L1"/>
  <sheetViews>
    <sheetView showGridLines="0" topLeftCell="A4" zoomScale="90" zoomScaleNormal="90" workbookViewId="0">
      <selection activeCell="L14" sqref="L14"/>
    </sheetView>
  </sheetViews>
  <sheetFormatPr defaultRowHeight="14.4" x14ac:dyDescent="0.3"/>
  <cols>
    <col min="1" max="1" width="8.88671875" customWidth="1"/>
    <col min="5" max="5" width="12.109375" customWidth="1"/>
    <col min="6" max="6" width="14.109375" customWidth="1"/>
    <col min="7" max="7" width="17.5546875" customWidth="1"/>
    <col min="8" max="8" width="28.33203125" customWidth="1"/>
  </cols>
  <sheetData>
    <row r="1" spans="4:12" ht="25.8" x14ac:dyDescent="0.5">
      <c r="D1" s="13" t="s">
        <v>1096</v>
      </c>
      <c r="E1" s="13"/>
      <c r="F1" s="13"/>
      <c r="G1" s="13"/>
      <c r="H1" s="13"/>
      <c r="I1" s="13"/>
      <c r="J1" s="13"/>
      <c r="K1" s="13"/>
      <c r="L1" s="12"/>
    </row>
  </sheetData>
  <mergeCells count="1">
    <mergeCell ref="D1:K1"/>
  </mergeCells>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64C48-0B3C-4DB3-95B7-7E83F8CFC9D2}">
  <dimension ref="A1:F24"/>
  <sheetViews>
    <sheetView showGridLines="0" topLeftCell="A4" workbookViewId="0">
      <selection activeCell="E26" sqref="E26"/>
    </sheetView>
  </sheetViews>
  <sheetFormatPr defaultRowHeight="14.4" x14ac:dyDescent="0.3"/>
  <cols>
    <col min="2" max="2" width="10.21875" customWidth="1"/>
    <col min="3" max="3" width="19.33203125" customWidth="1"/>
    <col min="4" max="4" width="14.88671875" customWidth="1"/>
    <col min="5" max="5" width="15.109375" customWidth="1"/>
    <col min="6" max="6" width="18.77734375" customWidth="1"/>
  </cols>
  <sheetData>
    <row r="1" spans="1:6" ht="31.2" x14ac:dyDescent="0.6">
      <c r="F1" s="5" t="s">
        <v>1069</v>
      </c>
    </row>
    <row r="3" spans="1:6" x14ac:dyDescent="0.3">
      <c r="B3" s="6" t="s">
        <v>1070</v>
      </c>
      <c r="C3" s="6" t="s">
        <v>1071</v>
      </c>
    </row>
    <row r="4" spans="1:6" ht="43.2" x14ac:dyDescent="0.3">
      <c r="B4" s="7" t="s">
        <v>1075</v>
      </c>
      <c r="C4" s="7" t="s">
        <v>1072</v>
      </c>
    </row>
    <row r="5" spans="1:6" ht="28.8" x14ac:dyDescent="0.3">
      <c r="B5" s="7" t="s">
        <v>1073</v>
      </c>
      <c r="C5" s="7" t="s">
        <v>1080</v>
      </c>
    </row>
    <row r="6" spans="1:6" ht="28.8" x14ac:dyDescent="0.3">
      <c r="B6" s="7" t="s">
        <v>1074</v>
      </c>
      <c r="C6" s="7" t="s">
        <v>1081</v>
      </c>
    </row>
    <row r="7" spans="1:6" ht="28.8" x14ac:dyDescent="0.3">
      <c r="B7" s="7" t="s">
        <v>1076</v>
      </c>
      <c r="C7" s="7" t="s">
        <v>1077</v>
      </c>
    </row>
    <row r="8" spans="1:6" ht="28.8" x14ac:dyDescent="0.3">
      <c r="B8" s="7" t="s">
        <v>1078</v>
      </c>
      <c r="C8" s="7" t="s">
        <v>1079</v>
      </c>
    </row>
    <row r="10" spans="1:6" x14ac:dyDescent="0.3">
      <c r="A10" t="s">
        <v>1065</v>
      </c>
      <c r="B10" t="s">
        <v>1064</v>
      </c>
      <c r="C10" t="s">
        <v>1066</v>
      </c>
      <c r="D10" t="s">
        <v>1067</v>
      </c>
      <c r="E10" t="s">
        <v>1068</v>
      </c>
    </row>
    <row r="11" spans="1:6" x14ac:dyDescent="0.3">
      <c r="A11">
        <v>1</v>
      </c>
      <c r="B11">
        <v>756</v>
      </c>
    </row>
    <row r="12" spans="1:6" x14ac:dyDescent="0.3">
      <c r="A12">
        <v>2</v>
      </c>
      <c r="B12">
        <v>561</v>
      </c>
    </row>
    <row r="13" spans="1:6" x14ac:dyDescent="0.3">
      <c r="A13">
        <v>3</v>
      </c>
      <c r="B13">
        <v>1825</v>
      </c>
    </row>
    <row r="14" spans="1:6" x14ac:dyDescent="0.3">
      <c r="A14">
        <v>4</v>
      </c>
      <c r="B14">
        <v>1988</v>
      </c>
    </row>
    <row r="15" spans="1:6" x14ac:dyDescent="0.3">
      <c r="A15">
        <v>5</v>
      </c>
      <c r="B15">
        <v>1939</v>
      </c>
    </row>
    <row r="16" spans="1:6" x14ac:dyDescent="0.3">
      <c r="A16">
        <v>6</v>
      </c>
      <c r="B16">
        <v>775</v>
      </c>
    </row>
    <row r="17" spans="1:6" x14ac:dyDescent="0.3">
      <c r="A17">
        <v>7</v>
      </c>
      <c r="B17">
        <v>1329</v>
      </c>
    </row>
    <row r="18" spans="1:6" x14ac:dyDescent="0.3">
      <c r="A18">
        <v>8</v>
      </c>
      <c r="B18">
        <v>1586</v>
      </c>
    </row>
    <row r="19" spans="1:6" x14ac:dyDescent="0.3">
      <c r="A19">
        <v>9</v>
      </c>
      <c r="B19">
        <v>2087</v>
      </c>
    </row>
    <row r="20" spans="1:6" x14ac:dyDescent="0.3">
      <c r="A20">
        <v>10</v>
      </c>
      <c r="B20">
        <v>1565</v>
      </c>
    </row>
    <row r="21" spans="1:6" x14ac:dyDescent="0.3">
      <c r="A21">
        <v>11</v>
      </c>
      <c r="B21">
        <v>1026</v>
      </c>
      <c r="C21">
        <v>1026</v>
      </c>
      <c r="D21" s="4">
        <v>1026</v>
      </c>
      <c r="E21" s="4">
        <v>1026</v>
      </c>
    </row>
    <row r="22" spans="1:6" x14ac:dyDescent="0.3">
      <c r="A22">
        <v>12</v>
      </c>
      <c r="C22" s="4">
        <f>_xlfn.FORECAST.ETS(A22,$B$11:$B$21,$A$11:$A$21,1,1)</f>
        <v>1584.5216698654822</v>
      </c>
      <c r="D22" s="4">
        <f>C22-_xlfn.FORECAST.ETS.CONFINT(A22,$B$11:$B$21,$A$11:$A$21,0.95,1,1)</f>
        <v>441.32990360357417</v>
      </c>
      <c r="E22" s="4">
        <f>C22+_xlfn.FORECAST.ETS.CONFINT(A22,$B$11:$B$21,$A$11:$A$21,0.95,1,1)</f>
        <v>2727.7134361273902</v>
      </c>
    </row>
    <row r="23" spans="1:6" x14ac:dyDescent="0.3">
      <c r="A23">
        <v>13</v>
      </c>
      <c r="C23" s="4">
        <f>_xlfn.FORECAST.ETS(A23,$B$11:$B$21,$A$11:$A$21,1,1)</f>
        <v>1628.9544448923848</v>
      </c>
      <c r="D23" s="4">
        <f>C23-_xlfn.FORECAST.ETS.CONFINT(A23,$B$11:$B$21,$A$11:$A$21,0.95,1,1)</f>
        <v>450.30155771706222</v>
      </c>
      <c r="E23" s="4">
        <f>C23+_xlfn.FORECAST.ETS.CONFINT(A23,$B$11:$B$21,$A$11:$A$21,0.95,1,1)</f>
        <v>2807.6073320677074</v>
      </c>
      <c r="F23" s="8"/>
    </row>
    <row r="24" spans="1:6" x14ac:dyDescent="0.3">
      <c r="A24">
        <v>14</v>
      </c>
      <c r="C24" s="4">
        <f>_xlfn.FORECAST.ETS(A24,$B$11:$B$21,$A$11:$A$21,1,1)</f>
        <v>1673.3872199192865</v>
      </c>
      <c r="D24" s="4">
        <f>C24-_xlfn.FORECAST.ETS.CONFINT(A24,$B$11:$B$21,$A$11:$A$21,0.95,1,1)</f>
        <v>460.03846263064315</v>
      </c>
      <c r="E24" s="4">
        <f>C24+_xlfn.FORECAST.ETS.CONFINT(A24,$B$11:$B$21,$A$11:$A$21,0.95,1,1)</f>
        <v>2886.7359772079299</v>
      </c>
    </row>
  </sheetData>
  <phoneticPr fontId="3" type="noConversion"/>
  <pageMargins left="0.7" right="0.7" top="0.75" bottom="0.75" header="0.3" footer="0.3"/>
  <pageSetup orientation="portrait" horizontalDpi="1200" verticalDpi="1200" r:id="rId1"/>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5FED4-ABFE-484A-9132-6C227DB32821}">
  <dimension ref="A1:D24"/>
  <sheetViews>
    <sheetView workbookViewId="0">
      <selection activeCell="I18" sqref="I18"/>
    </sheetView>
  </sheetViews>
  <sheetFormatPr defaultRowHeight="14.4" x14ac:dyDescent="0.3"/>
  <cols>
    <col min="1" max="1" width="15.44140625" bestFit="1" customWidth="1"/>
    <col min="2" max="2" width="10.21875" bestFit="1" customWidth="1"/>
    <col min="3" max="3" width="12.5546875" bestFit="1" customWidth="1"/>
    <col min="4" max="4" width="13.33203125" customWidth="1"/>
  </cols>
  <sheetData>
    <row r="1" spans="1:4" x14ac:dyDescent="0.3">
      <c r="A1" s="2" t="s">
        <v>2</v>
      </c>
      <c r="B1" t="s">
        <v>9</v>
      </c>
    </row>
    <row r="3" spans="1:4" x14ac:dyDescent="0.3">
      <c r="A3" s="2" t="s">
        <v>1062</v>
      </c>
      <c r="B3" t="s">
        <v>1084</v>
      </c>
      <c r="C3" t="s">
        <v>1083</v>
      </c>
      <c r="D3" t="s">
        <v>1085</v>
      </c>
    </row>
    <row r="4" spans="1:4" x14ac:dyDescent="0.3">
      <c r="A4" s="3" t="s">
        <v>25</v>
      </c>
      <c r="B4">
        <v>305</v>
      </c>
      <c r="C4">
        <v>101</v>
      </c>
      <c r="D4" t="str">
        <f>IF(GETPIVOTDATA("Sum_stock",$A$3,"item_name","Air Conditioner") &gt; GETPIVOTDATA(" reorder_level",$A$3,"item_name","Air Conditioner"),"Good","Bad")</f>
        <v>Good</v>
      </c>
    </row>
    <row r="5" spans="1:4" x14ac:dyDescent="0.3">
      <c r="A5" s="3" t="s">
        <v>152</v>
      </c>
      <c r="B5">
        <v>209</v>
      </c>
      <c r="C5">
        <v>84</v>
      </c>
      <c r="D5" t="str">
        <f>IF(GETPIVOTDATA("Sum_stock",$A$3,"item_name","Air Conditioner") &gt; GETPIVOTDATA(" reorder_level",$A$3,"item_name","Air Conditioner"),"Good","Bad")</f>
        <v>Good</v>
      </c>
    </row>
    <row r="6" spans="1:4" x14ac:dyDescent="0.3">
      <c r="A6" s="3" t="s">
        <v>71</v>
      </c>
      <c r="B6">
        <v>417</v>
      </c>
      <c r="C6">
        <v>139</v>
      </c>
      <c r="D6" t="str">
        <f t="shared" ref="D6:D23" si="0">IF(GETPIVOTDATA("Sum_stock",$A$3,"item_name","Air Conditioner") &gt; GETPIVOTDATA(" reorder_level",$A$3,"item_name","Air Conditioner"),"Good","Bad")</f>
        <v>Good</v>
      </c>
    </row>
    <row r="7" spans="1:4" x14ac:dyDescent="0.3">
      <c r="A7" s="3" t="s">
        <v>21</v>
      </c>
      <c r="B7">
        <v>499</v>
      </c>
      <c r="C7">
        <v>188</v>
      </c>
      <c r="D7" t="str">
        <f t="shared" si="0"/>
        <v>Good</v>
      </c>
    </row>
    <row r="8" spans="1:4" x14ac:dyDescent="0.3">
      <c r="A8" s="3" t="s">
        <v>65</v>
      </c>
      <c r="B8">
        <v>216</v>
      </c>
      <c r="C8">
        <v>83</v>
      </c>
      <c r="D8" t="str">
        <f t="shared" si="0"/>
        <v>Good</v>
      </c>
    </row>
    <row r="9" spans="1:4" x14ac:dyDescent="0.3">
      <c r="A9" s="3" t="s">
        <v>48</v>
      </c>
      <c r="B9">
        <v>302</v>
      </c>
      <c r="C9">
        <v>60</v>
      </c>
      <c r="D9" t="str">
        <f t="shared" si="0"/>
        <v>Good</v>
      </c>
    </row>
    <row r="10" spans="1:4" x14ac:dyDescent="0.3">
      <c r="A10" s="3" t="s">
        <v>38</v>
      </c>
      <c r="B10">
        <v>147</v>
      </c>
      <c r="C10">
        <v>53</v>
      </c>
      <c r="D10" t="str">
        <f t="shared" si="0"/>
        <v>Good</v>
      </c>
    </row>
    <row r="11" spans="1:4" x14ac:dyDescent="0.3">
      <c r="A11" s="3" t="s">
        <v>8</v>
      </c>
      <c r="B11">
        <v>442</v>
      </c>
      <c r="C11">
        <v>151</v>
      </c>
      <c r="D11" t="str">
        <f t="shared" si="0"/>
        <v>Good</v>
      </c>
    </row>
    <row r="12" spans="1:4" x14ac:dyDescent="0.3">
      <c r="A12" s="3" t="s">
        <v>31</v>
      </c>
      <c r="B12">
        <v>394</v>
      </c>
      <c r="C12">
        <v>213</v>
      </c>
      <c r="D12" t="str">
        <f t="shared" si="0"/>
        <v>Good</v>
      </c>
    </row>
    <row r="13" spans="1:4" x14ac:dyDescent="0.3">
      <c r="A13" s="3" t="s">
        <v>58</v>
      </c>
      <c r="B13">
        <v>298</v>
      </c>
      <c r="C13">
        <v>107</v>
      </c>
      <c r="D13" t="str">
        <f t="shared" si="0"/>
        <v>Good</v>
      </c>
    </row>
    <row r="14" spans="1:4" x14ac:dyDescent="0.3">
      <c r="A14" s="3" t="s">
        <v>12</v>
      </c>
      <c r="B14">
        <v>343</v>
      </c>
      <c r="C14">
        <v>90</v>
      </c>
      <c r="D14" t="str">
        <f t="shared" si="0"/>
        <v>Good</v>
      </c>
    </row>
    <row r="15" spans="1:4" x14ac:dyDescent="0.3">
      <c r="A15" s="3" t="s">
        <v>18</v>
      </c>
      <c r="B15">
        <v>449</v>
      </c>
      <c r="C15">
        <v>181</v>
      </c>
      <c r="D15" t="str">
        <f t="shared" si="0"/>
        <v>Good</v>
      </c>
    </row>
    <row r="16" spans="1:4" x14ac:dyDescent="0.3">
      <c r="A16" s="3" t="s">
        <v>43</v>
      </c>
      <c r="B16">
        <v>638</v>
      </c>
      <c r="C16">
        <v>188</v>
      </c>
      <c r="D16" t="str">
        <f t="shared" si="0"/>
        <v>Good</v>
      </c>
    </row>
    <row r="17" spans="1:4" x14ac:dyDescent="0.3">
      <c r="A17" s="3" t="s">
        <v>61</v>
      </c>
      <c r="B17">
        <v>460</v>
      </c>
      <c r="C17">
        <v>139</v>
      </c>
      <c r="D17" t="str">
        <f t="shared" si="0"/>
        <v>Good</v>
      </c>
    </row>
    <row r="18" spans="1:4" x14ac:dyDescent="0.3">
      <c r="A18" s="3" t="s">
        <v>40</v>
      </c>
      <c r="B18">
        <v>339</v>
      </c>
      <c r="C18">
        <v>162</v>
      </c>
      <c r="D18" t="str">
        <f t="shared" si="0"/>
        <v>Good</v>
      </c>
    </row>
    <row r="19" spans="1:4" x14ac:dyDescent="0.3">
      <c r="A19" s="3" t="s">
        <v>14</v>
      </c>
      <c r="B19">
        <v>389</v>
      </c>
      <c r="C19">
        <v>106</v>
      </c>
      <c r="D19" t="str">
        <f t="shared" si="0"/>
        <v>Good</v>
      </c>
    </row>
    <row r="20" spans="1:4" x14ac:dyDescent="0.3">
      <c r="A20" s="3" t="s">
        <v>63</v>
      </c>
      <c r="B20">
        <v>586</v>
      </c>
      <c r="C20">
        <v>204</v>
      </c>
      <c r="D20" t="str">
        <f t="shared" si="0"/>
        <v>Good</v>
      </c>
    </row>
    <row r="21" spans="1:4" x14ac:dyDescent="0.3">
      <c r="A21" s="3" t="s">
        <v>28</v>
      </c>
      <c r="B21">
        <v>463</v>
      </c>
      <c r="C21">
        <v>144</v>
      </c>
      <c r="D21" t="str">
        <f t="shared" si="0"/>
        <v>Good</v>
      </c>
    </row>
    <row r="22" spans="1:4" x14ac:dyDescent="0.3">
      <c r="A22" s="3" t="s">
        <v>45</v>
      </c>
      <c r="B22">
        <v>284</v>
      </c>
      <c r="C22">
        <v>86</v>
      </c>
      <c r="D22" t="str">
        <f t="shared" si="0"/>
        <v>Good</v>
      </c>
    </row>
    <row r="23" spans="1:4" x14ac:dyDescent="0.3">
      <c r="A23" s="3" t="s">
        <v>53</v>
      </c>
      <c r="B23">
        <v>51</v>
      </c>
      <c r="C23">
        <v>10</v>
      </c>
      <c r="D23" t="str">
        <f t="shared" si="0"/>
        <v>Good</v>
      </c>
    </row>
    <row r="24" spans="1:4" x14ac:dyDescent="0.3">
      <c r="A24" s="3" t="s">
        <v>1063</v>
      </c>
      <c r="B24">
        <v>7231</v>
      </c>
      <c r="C24">
        <v>2489</v>
      </c>
    </row>
  </sheetData>
  <conditionalFormatting sqref="D3">
    <cfRule type="colorScale" priority="2">
      <colorScale>
        <cfvo type="min"/>
        <cfvo type="max"/>
        <color rgb="FFF8696B"/>
        <color rgb="FFFCFCFF"/>
      </colorScale>
    </cfRule>
  </conditionalFormatting>
  <conditionalFormatting sqref="D4">
    <cfRule type="colorScale" priority="1">
      <colorScale>
        <cfvo type="min"/>
        <cfvo type="percentile" val="50"/>
        <cfvo type="max"/>
        <color rgb="FFF8696B"/>
        <color rgb="FFFCFCFF"/>
        <color rgb="FF5A8AC6"/>
      </colorScale>
    </cfRule>
  </conditionalFormatting>
  <pageMargins left="0.7" right="0.7" top="0.75" bottom="0.75" header="0.3" footer="0.3"/>
  <tableParts count="1">
    <tablePart r:id="rId2"/>
  </tableParts>
  <extLst>
    <ext xmlns:x14="http://schemas.microsoft.com/office/spreadsheetml/2009/9/main" uri="{05C60535-1F16-4fd2-B633-F4F36F0B64E0}">
      <x14:sparklineGroups xmlns:xm="http://schemas.microsoft.com/office/excel/2006/main">
        <x14:sparklineGroup type="column" displayEmptyCellsAs="gap" xr2:uid="{9410FA97-6365-40EB-AC99-C0FC31B56C27}">
          <x14:colorSeries rgb="FF376092"/>
          <x14:colorNegative rgb="FFD00000"/>
          <x14:colorAxis rgb="FF000000"/>
          <x14:colorMarkers rgb="FFD00000"/>
          <x14:colorFirst rgb="FFD00000"/>
          <x14:colorLast rgb="FFD00000"/>
          <x14:colorHigh rgb="FFD00000"/>
          <x14:colorLow rgb="FFD00000"/>
          <x14:sparklines>
            <x14:sparkline>
              <xm:f>StockStats!D3:D3</xm:f>
              <xm:sqref>D3</xm:sqref>
            </x14:sparkline>
            <x14:sparkline>
              <xm:f>StockStats!D4:D24</xm:f>
              <xm:sqref>D4</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3B5CF8-ADD6-4C81-B50B-20100E4006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inventory_appliances </vt:lpstr>
      <vt:lpstr>suppliers_appliances </vt:lpstr>
      <vt:lpstr>shipments_appliances </vt:lpstr>
      <vt:lpstr> </vt:lpstr>
      <vt:lpstr>Sheet2</vt:lpstr>
      <vt:lpstr>Prep4Dashboard</vt:lpstr>
      <vt:lpstr>Dashboard</vt:lpstr>
      <vt:lpstr>2025 Forecast</vt:lpstr>
      <vt:lpstr>StockStats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gemwell losbanes</cp:lastModifiedBy>
  <dcterms:created xsi:type="dcterms:W3CDTF">2025-11-30T07:16:36Z</dcterms:created>
  <dcterms:modified xsi:type="dcterms:W3CDTF">2026-01-01T09:34:11Z</dcterms:modified>
</cp:coreProperties>
</file>